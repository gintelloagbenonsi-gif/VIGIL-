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GILLES\Desktop\"/>
    </mc:Choice>
  </mc:AlternateContent>
  <xr:revisionPtr revIDLastSave="0" documentId="13_ncr:1_{96A46C8C-E694-4FAD-8597-5E81AE598547}" xr6:coauthVersionLast="47" xr6:coauthVersionMax="47" xr10:uidLastSave="{00000000-0000-0000-0000-000000000000}"/>
  <bookViews>
    <workbookView xWindow="28680" yWindow="-120" windowWidth="29040" windowHeight="15720" xr2:uid="{B21A24F1-2B26-47B2-8E34-FB8F596FB5EA}"/>
  </bookViews>
  <sheets>
    <sheet name="LOGIN" sheetId="40" r:id="rId1"/>
    <sheet name="ACCUEIL" sheetId="1" state="veryHidden" r:id="rId2"/>
    <sheet name="TDB GROUPE" sheetId="13" state="veryHidden" r:id="rId3"/>
    <sheet name="TDB FILIALE" sheetId="14" state="veryHidden" r:id="rId4"/>
    <sheet name="RECAP GOUVERNANCE" sheetId="15" state="veryHidden" r:id="rId5"/>
    <sheet name="RECAP AML" sheetId="16" state="veryHidden" r:id="rId6"/>
    <sheet name="RECAP SANCTIONS" sheetId="17" state="veryHidden" r:id="rId7"/>
    <sheet name="INDICATEURS HIST" sheetId="18" state="veryHidden" r:id="rId8"/>
    <sheet name="METRIQUES" sheetId="19" state="veryHidden" r:id="rId9"/>
    <sheet name="BASE GRAPHIQUES" sheetId="20" state="veryHidden" r:id="rId10"/>
    <sheet name="LEXIQUE" sheetId="21" state="veryHidden" r:id="rId11"/>
    <sheet name="DATA_SGBF" sheetId="22" state="veryHidden" r:id="rId12"/>
    <sheet name="DATA_VBB" sheetId="23" state="veryHidden" r:id="rId13"/>
    <sheet name="DATA_Vista Gui" sheetId="24" state="veryHidden" r:id="rId14"/>
    <sheet name="DATA_Vista Bank Guinee" sheetId="25" state="veryHidden" r:id="rId15"/>
    <sheet name="DATA_Vista Bank Sierra Leone" sheetId="26" state="veryHidden" r:id="rId16"/>
    <sheet name="DATA_Vista Bank Gambie" sheetId="27" state="veryHidden" r:id="rId17"/>
    <sheet name="DATA_Vista Bank Mozambique" sheetId="28" state="veryHidden" r:id="rId18"/>
    <sheet name="DATA_Vista Bank France" sheetId="29" state="veryHidden" r:id="rId19"/>
    <sheet name="DATA_Vista Bank Tchad" sheetId="30" state="very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6" i="13" l="1"/>
  <c r="N36" i="13"/>
  <c r="K36" i="13"/>
  <c r="O35" i="13"/>
  <c r="N35" i="13"/>
  <c r="K35" i="13"/>
  <c r="O34" i="13"/>
  <c r="N34" i="13"/>
  <c r="K34" i="13"/>
  <c r="O33" i="13"/>
  <c r="N33" i="13"/>
  <c r="K33" i="13"/>
  <c r="M32" i="13"/>
  <c r="O32" i="13"/>
  <c r="N32" i="13"/>
  <c r="K32" i="13"/>
  <c r="O31" i="13"/>
  <c r="N31" i="13"/>
  <c r="K31" i="13"/>
  <c r="O30" i="13"/>
  <c r="N30" i="13"/>
  <c r="K30" i="13"/>
  <c r="O29" i="13"/>
  <c r="N29" i="13"/>
  <c r="K29" i="13"/>
  <c r="O28" i="13"/>
  <c r="N28" i="13"/>
  <c r="K28" i="13"/>
  <c r="O27" i="13"/>
  <c r="N27" i="13"/>
  <c r="K27" i="13"/>
  <c r="M25" i="13"/>
  <c r="O25" i="13"/>
  <c r="N25" i="13"/>
  <c r="K25" i="13"/>
  <c r="O24" i="13"/>
  <c r="N24" i="13"/>
  <c r="K24" i="13"/>
  <c r="O23" i="13"/>
  <c r="N23" i="13"/>
  <c r="K23" i="13"/>
  <c r="O22" i="13"/>
  <c r="N22" i="13"/>
  <c r="K22" i="13"/>
  <c r="O21" i="13"/>
  <c r="N21" i="13"/>
  <c r="K21" i="13"/>
  <c r="O20" i="13"/>
  <c r="N20" i="13"/>
  <c r="K20" i="13"/>
  <c r="M19" i="13"/>
  <c r="O19" i="13"/>
  <c r="N19" i="13"/>
  <c r="K19" i="13"/>
  <c r="M18" i="13"/>
  <c r="O18" i="13"/>
  <c r="N18" i="13"/>
  <c r="K18" i="13"/>
  <c r="O17" i="13"/>
  <c r="N17" i="13"/>
  <c r="K17" i="13"/>
  <c r="M16" i="13"/>
  <c r="O16" i="13"/>
  <c r="N16" i="13"/>
  <c r="K16" i="13"/>
  <c r="M14" i="13"/>
  <c r="O14" i="13"/>
  <c r="N14" i="13"/>
  <c r="K14" i="13"/>
  <c r="M13" i="13"/>
  <c r="O13" i="13"/>
  <c r="N13" i="13"/>
  <c r="K13" i="13"/>
  <c r="O12" i="13"/>
  <c r="N12" i="13"/>
  <c r="K12" i="13"/>
  <c r="O11" i="13"/>
  <c r="N11" i="13"/>
  <c r="K11" i="13"/>
  <c r="O10" i="13"/>
  <c r="N10" i="13"/>
  <c r="K10" i="13"/>
  <c r="M9" i="13"/>
  <c r="O9" i="13"/>
  <c r="N9" i="13"/>
  <c r="K9" i="13"/>
  <c r="M8" i="13"/>
  <c r="O8" i="13"/>
  <c r="N8" i="13"/>
  <c r="K8" i="13"/>
  <c r="M7" i="13"/>
  <c r="O7" i="13"/>
  <c r="N7" i="13"/>
  <c r="K7" i="13"/>
  <c r="M6" i="13"/>
  <c r="O6" i="13"/>
  <c r="N6" i="13"/>
  <c r="K6" i="13"/>
  <c r="M5" i="13"/>
  <c r="O5" i="13"/>
  <c r="N5" i="13"/>
  <c r="K5" i="13"/>
  <c r="J14" i="17"/>
  <c r="I14" i="17"/>
  <c r="F14" i="17"/>
  <c r="E14" i="17"/>
  <c r="D14" i="17"/>
  <c r="C14" i="17"/>
  <c r="B14" i="17"/>
  <c r="J13" i="17"/>
  <c r="I13" i="17"/>
  <c r="F13" i="17"/>
  <c r="E13" i="17"/>
  <c r="D13" i="17"/>
  <c r="C13" i="17"/>
  <c r="B13" i="17"/>
  <c r="J12" i="17"/>
  <c r="I12" i="17"/>
  <c r="F12" i="17"/>
  <c r="E12" i="17"/>
  <c r="D12" i="17"/>
  <c r="C12" i="17"/>
  <c r="B12" i="17"/>
  <c r="J11" i="17"/>
  <c r="I11" i="17"/>
  <c r="F11" i="17"/>
  <c r="E11" i="17"/>
  <c r="D11" i="17"/>
  <c r="C11" i="17"/>
  <c r="B11" i="17"/>
  <c r="J9" i="17"/>
  <c r="I9" i="17"/>
  <c r="F9" i="17"/>
  <c r="E9" i="17"/>
  <c r="D9" i="17"/>
  <c r="C9" i="17"/>
  <c r="B9" i="17"/>
  <c r="J8" i="17"/>
  <c r="I8" i="17"/>
  <c r="F8" i="17"/>
  <c r="E8" i="17"/>
  <c r="D8" i="17"/>
  <c r="C8" i="17"/>
  <c r="B8" i="17"/>
  <c r="J7" i="17"/>
  <c r="I7" i="17"/>
  <c r="F7" i="17"/>
  <c r="E7" i="17"/>
  <c r="D7" i="17"/>
  <c r="C7" i="17"/>
  <c r="B7" i="17"/>
  <c r="J6" i="17"/>
  <c r="I6" i="17"/>
  <c r="F6" i="17"/>
  <c r="E6" i="17"/>
  <c r="D6" i="17"/>
  <c r="C6" i="17"/>
  <c r="B6" i="17"/>
  <c r="J5" i="17"/>
  <c r="I5" i="17"/>
  <c r="F5" i="17"/>
  <c r="E5" i="17"/>
  <c r="D5" i="17"/>
  <c r="C5" i="17"/>
  <c r="B5" i="17"/>
  <c r="J22" i="16"/>
  <c r="I22" i="16"/>
  <c r="F22" i="16"/>
  <c r="E22" i="16"/>
  <c r="D22" i="16"/>
  <c r="C22" i="16"/>
  <c r="B22" i="16"/>
  <c r="J21" i="16"/>
  <c r="I21" i="16"/>
  <c r="F21" i="16"/>
  <c r="E21" i="16"/>
  <c r="D21" i="16"/>
  <c r="C21" i="16"/>
  <c r="B21" i="16"/>
  <c r="J20" i="16"/>
  <c r="I20" i="16"/>
  <c r="F20" i="16"/>
  <c r="E20" i="16"/>
  <c r="D20" i="16"/>
  <c r="C20" i="16"/>
  <c r="B20" i="16"/>
  <c r="J19" i="16"/>
  <c r="I19" i="16"/>
  <c r="F19" i="16"/>
  <c r="E19" i="16"/>
  <c r="D19" i="16"/>
  <c r="C19" i="16"/>
  <c r="B19" i="16"/>
  <c r="J18" i="16"/>
  <c r="I18" i="16"/>
  <c r="F18" i="16"/>
  <c r="E18" i="16"/>
  <c r="D18" i="16"/>
  <c r="C18" i="16"/>
  <c r="B18" i="16"/>
  <c r="J17" i="16"/>
  <c r="I17" i="16"/>
  <c r="F17" i="16"/>
  <c r="E17" i="16"/>
  <c r="D17" i="16"/>
  <c r="C17" i="16"/>
  <c r="B17" i="16"/>
  <c r="J16" i="16"/>
  <c r="I16" i="16"/>
  <c r="F16" i="16"/>
  <c r="E16" i="16"/>
  <c r="D16" i="16"/>
  <c r="C16" i="16"/>
  <c r="B16" i="16"/>
  <c r="J15" i="16"/>
  <c r="I15" i="16"/>
  <c r="F15" i="16"/>
  <c r="E15" i="16"/>
  <c r="D15" i="16"/>
  <c r="C15" i="16"/>
  <c r="B15" i="16"/>
  <c r="J14" i="16"/>
  <c r="I14" i="16"/>
  <c r="F14" i="16"/>
  <c r="E14" i="16"/>
  <c r="D14" i="16"/>
  <c r="C14" i="16"/>
  <c r="B14" i="16"/>
  <c r="J12" i="16"/>
  <c r="I12" i="16"/>
  <c r="F12" i="16"/>
  <c r="E12" i="16"/>
  <c r="D12" i="16"/>
  <c r="C12" i="16"/>
  <c r="B12" i="16"/>
  <c r="J11" i="16"/>
  <c r="I11" i="16"/>
  <c r="F11" i="16"/>
  <c r="E11" i="16"/>
  <c r="D11" i="16"/>
  <c r="C11" i="16"/>
  <c r="B11" i="16"/>
  <c r="J10" i="16"/>
  <c r="I10" i="16"/>
  <c r="F10" i="16"/>
  <c r="E10" i="16"/>
  <c r="D10" i="16"/>
  <c r="C10" i="16"/>
  <c r="B10" i="16"/>
  <c r="J9" i="16"/>
  <c r="I9" i="16"/>
  <c r="F9" i="16"/>
  <c r="E9" i="16"/>
  <c r="D9" i="16"/>
  <c r="C9" i="16"/>
  <c r="B9" i="16"/>
  <c r="J8" i="16"/>
  <c r="I8" i="16"/>
  <c r="F8" i="16"/>
  <c r="E8" i="16"/>
  <c r="D8" i="16"/>
  <c r="C8" i="16"/>
  <c r="B8" i="16"/>
  <c r="J5" i="16"/>
  <c r="I5" i="16"/>
  <c r="F5" i="16"/>
  <c r="E5" i="16"/>
  <c r="D5" i="16"/>
  <c r="C5" i="16"/>
  <c r="B5" i="16"/>
  <c r="J13" i="15"/>
  <c r="I13" i="15"/>
  <c r="F13" i="15"/>
  <c r="E13" i="15"/>
  <c r="D13" i="15"/>
  <c r="C13" i="15"/>
  <c r="B13" i="15"/>
  <c r="J11" i="15"/>
  <c r="I11" i="15"/>
  <c r="F11" i="15"/>
  <c r="E11" i="15"/>
  <c r="D11" i="15"/>
  <c r="C11" i="15"/>
  <c r="B11" i="15"/>
  <c r="J10" i="15"/>
  <c r="I10" i="15"/>
  <c r="F10" i="15"/>
  <c r="E10" i="15"/>
  <c r="D10" i="15"/>
  <c r="C10" i="15"/>
  <c r="B10" i="15"/>
  <c r="J9" i="15"/>
  <c r="I9" i="15"/>
  <c r="F9" i="15"/>
  <c r="E9" i="15"/>
  <c r="D9" i="15"/>
  <c r="C9" i="15"/>
  <c r="B9" i="15"/>
  <c r="E6" i="15"/>
  <c r="J6" i="15" s="1"/>
  <c r="D6" i="15"/>
  <c r="I6" i="15" s="1"/>
  <c r="C6" i="15"/>
  <c r="B6" i="15"/>
  <c r="F6" i="15" l="1"/>
  <c r="E37" i="14"/>
  <c r="C37" i="14"/>
  <c r="E35" i="14"/>
  <c r="C34" i="14"/>
  <c r="C31" i="14"/>
  <c r="E28" i="14"/>
  <c r="C28" i="14"/>
  <c r="E23" i="14"/>
  <c r="E20" i="14"/>
  <c r="C20" i="14"/>
  <c r="E12" i="14"/>
  <c r="C12" i="14"/>
  <c r="E10" i="14"/>
  <c r="C10" i="14"/>
  <c r="C7" i="14"/>
  <c r="E36" i="14"/>
  <c r="C36" i="14"/>
  <c r="C35" i="14"/>
  <c r="E34" i="14"/>
  <c r="E32" i="14"/>
  <c r="C32" i="14"/>
  <c r="E31" i="14"/>
  <c r="E30" i="14"/>
  <c r="C30" i="14"/>
  <c r="E24" i="14"/>
  <c r="E22" i="14"/>
  <c r="C22" i="14"/>
  <c r="C21" i="14"/>
  <c r="E17" i="14"/>
  <c r="C17" i="14"/>
  <c r="E29" i="14"/>
  <c r="C29" i="14"/>
  <c r="C24" i="14"/>
  <c r="C23" i="14"/>
  <c r="E21" i="14"/>
  <c r="C14" i="14"/>
  <c r="E11" i="14"/>
  <c r="C11" i="14"/>
  <c r="E14" i="14"/>
  <c r="E7" i="14"/>
  <c r="L37" i="14"/>
  <c r="L36" i="14"/>
  <c r="L35" i="14"/>
  <c r="L34" i="14"/>
  <c r="L33" i="14"/>
  <c r="L32" i="14"/>
  <c r="L31" i="14"/>
  <c r="L30" i="14"/>
  <c r="L29" i="14"/>
  <c r="L28" i="14"/>
  <c r="L27" i="14"/>
  <c r="L25" i="14"/>
  <c r="L24" i="14"/>
  <c r="L23" i="14"/>
  <c r="L22" i="14"/>
  <c r="L21" i="14"/>
  <c r="L20" i="14"/>
  <c r="L17" i="14"/>
  <c r="L14" i="14"/>
  <c r="L12" i="14"/>
  <c r="L11" i="14"/>
  <c r="L10" i="14"/>
  <c r="L8" i="14"/>
  <c r="L7" i="14"/>
  <c r="AA56" i="18"/>
  <c r="U56" i="18"/>
  <c r="O56" i="18"/>
  <c r="N56" i="18"/>
  <c r="L56" i="18"/>
  <c r="J56" i="18"/>
  <c r="F56" i="18"/>
  <c r="E56" i="18"/>
  <c r="C56" i="18"/>
  <c r="B56" i="18"/>
  <c r="AA55" i="18"/>
  <c r="U55" i="18"/>
  <c r="O55" i="18"/>
  <c r="N55" i="18"/>
  <c r="L55" i="18"/>
  <c r="J55" i="18"/>
  <c r="F55" i="18"/>
  <c r="E55" i="18"/>
  <c r="C55" i="18"/>
  <c r="B55" i="18"/>
  <c r="AA54" i="18"/>
  <c r="U54" i="18"/>
  <c r="O54" i="18"/>
  <c r="N54" i="18"/>
  <c r="L54" i="18"/>
  <c r="J54" i="18"/>
  <c r="F54" i="18"/>
  <c r="E54" i="18"/>
  <c r="C54" i="18"/>
  <c r="B54" i="18"/>
  <c r="AA53" i="18"/>
  <c r="U53" i="18"/>
  <c r="O53" i="18"/>
  <c r="N53" i="18"/>
  <c r="L53" i="18"/>
  <c r="J53" i="18"/>
  <c r="F53" i="18"/>
  <c r="E53" i="18"/>
  <c r="C53" i="18"/>
  <c r="B53" i="18"/>
  <c r="AA52" i="18"/>
  <c r="U52" i="18"/>
  <c r="O52" i="18"/>
  <c r="N52" i="18"/>
  <c r="L52" i="18"/>
  <c r="J52" i="18"/>
  <c r="F52" i="18"/>
  <c r="E52" i="18"/>
  <c r="C52" i="18"/>
  <c r="B52" i="18"/>
  <c r="AA51" i="18"/>
  <c r="U51" i="18"/>
  <c r="O51" i="18"/>
  <c r="N51" i="18"/>
  <c r="L51" i="18"/>
  <c r="J51" i="18"/>
  <c r="F51" i="18"/>
  <c r="E51" i="18"/>
  <c r="C51" i="18"/>
  <c r="B51" i="18"/>
  <c r="AA50" i="18"/>
  <c r="U50" i="18"/>
  <c r="O50" i="18"/>
  <c r="N50" i="18"/>
  <c r="L50" i="18"/>
  <c r="J50" i="18"/>
  <c r="F50" i="18"/>
  <c r="E50" i="18"/>
  <c r="C50" i="18"/>
  <c r="B50" i="18"/>
  <c r="AA49" i="18"/>
  <c r="U49" i="18"/>
  <c r="O49" i="18"/>
  <c r="N49" i="18"/>
  <c r="L49" i="18"/>
  <c r="J49" i="18"/>
  <c r="F49" i="18"/>
  <c r="E49" i="18"/>
  <c r="C49" i="18"/>
  <c r="B49" i="18"/>
  <c r="AA48" i="18"/>
  <c r="U48" i="18"/>
  <c r="O48" i="18"/>
  <c r="N48" i="18"/>
  <c r="L48" i="18"/>
  <c r="J48" i="18"/>
  <c r="F48" i="18"/>
  <c r="E48" i="18"/>
  <c r="C48" i="18"/>
  <c r="B48" i="18"/>
  <c r="AA47" i="18"/>
  <c r="U47" i="18"/>
  <c r="O47" i="18"/>
  <c r="N47" i="18"/>
  <c r="L47" i="18"/>
  <c r="J47" i="18"/>
  <c r="F47" i="18"/>
  <c r="E47" i="18"/>
  <c r="C47" i="18"/>
  <c r="B47" i="18"/>
  <c r="AA46" i="18"/>
  <c r="U46" i="18"/>
  <c r="O46" i="18"/>
  <c r="N46" i="18"/>
  <c r="L46" i="18"/>
  <c r="J46" i="18"/>
  <c r="F46" i="18"/>
  <c r="E46" i="18"/>
  <c r="C46" i="18"/>
  <c r="B46" i="18"/>
  <c r="AA45" i="18"/>
  <c r="U45" i="18"/>
  <c r="O45" i="18"/>
  <c r="N45" i="18"/>
  <c r="L45" i="18"/>
  <c r="J45" i="18"/>
  <c r="F45" i="18"/>
  <c r="E45" i="18"/>
  <c r="C45" i="18"/>
  <c r="B45" i="18"/>
  <c r="AA44" i="18"/>
  <c r="U44" i="18"/>
  <c r="O44" i="18"/>
  <c r="N44" i="18"/>
  <c r="L44" i="18"/>
  <c r="J44" i="18"/>
  <c r="F44" i="18"/>
  <c r="E44" i="18"/>
  <c r="C44" i="18"/>
  <c r="B44" i="18"/>
  <c r="AA43" i="18"/>
  <c r="U43" i="18"/>
  <c r="O43" i="18"/>
  <c r="N43" i="18"/>
  <c r="L43" i="18"/>
  <c r="J43" i="18"/>
  <c r="F43" i="18"/>
  <c r="E43" i="18"/>
  <c r="C43" i="18"/>
  <c r="B43" i="18"/>
  <c r="AA42" i="18"/>
  <c r="U42" i="18"/>
  <c r="O42" i="18"/>
  <c r="N42" i="18"/>
  <c r="L42" i="18"/>
  <c r="J42" i="18"/>
  <c r="F42" i="18"/>
  <c r="E42" i="18"/>
  <c r="C42" i="18"/>
  <c r="B42" i="18"/>
  <c r="AA41" i="18"/>
  <c r="U41" i="18"/>
  <c r="O41" i="18"/>
  <c r="N41" i="18"/>
  <c r="L41" i="18"/>
  <c r="J41" i="18"/>
  <c r="F41" i="18"/>
  <c r="E41" i="18"/>
  <c r="C41" i="18"/>
  <c r="B41" i="18"/>
  <c r="AA40" i="18"/>
  <c r="U40" i="18"/>
  <c r="O40" i="18"/>
  <c r="N40" i="18"/>
  <c r="L40" i="18"/>
  <c r="J40" i="18"/>
  <c r="F40" i="18"/>
  <c r="E40" i="18"/>
  <c r="C40" i="18"/>
  <c r="B40" i="18"/>
  <c r="AA39" i="18"/>
  <c r="U39" i="18"/>
  <c r="O39" i="18"/>
  <c r="N39" i="18"/>
  <c r="L39" i="18"/>
  <c r="J39" i="18"/>
  <c r="F39" i="18"/>
  <c r="E39" i="18"/>
  <c r="C39" i="18"/>
  <c r="B39" i="18"/>
  <c r="AA38" i="18"/>
  <c r="U38" i="18"/>
  <c r="O38" i="18"/>
  <c r="N38" i="18"/>
  <c r="L38" i="18"/>
  <c r="J38" i="18"/>
  <c r="F38" i="18"/>
  <c r="E38" i="18"/>
  <c r="C38" i="18"/>
  <c r="B38" i="18"/>
  <c r="AA37" i="18"/>
  <c r="U37" i="18"/>
  <c r="O37" i="18"/>
  <c r="N37" i="18"/>
  <c r="L37" i="18"/>
  <c r="J37" i="18"/>
  <c r="F37" i="18"/>
  <c r="E37" i="18"/>
  <c r="C37" i="18"/>
  <c r="B37" i="18"/>
  <c r="AA36" i="18"/>
  <c r="U36" i="18"/>
  <c r="O36" i="18"/>
  <c r="N36" i="18"/>
  <c r="L36" i="18"/>
  <c r="J36" i="18"/>
  <c r="F36" i="18"/>
  <c r="E36" i="18"/>
  <c r="C36" i="18"/>
  <c r="B36" i="18"/>
  <c r="AA35" i="18"/>
  <c r="U35" i="18"/>
  <c r="O35" i="18"/>
  <c r="N35" i="18"/>
  <c r="L35" i="18"/>
  <c r="J35" i="18"/>
  <c r="F35" i="18"/>
  <c r="E35" i="18"/>
  <c r="C35" i="18"/>
  <c r="B35" i="18"/>
  <c r="AA34" i="18"/>
  <c r="U34" i="18"/>
  <c r="O34" i="18"/>
  <c r="N34" i="18"/>
  <c r="L34" i="18"/>
  <c r="J34" i="18"/>
  <c r="F34" i="18"/>
  <c r="E34" i="18"/>
  <c r="C34" i="18"/>
  <c r="B34" i="18"/>
  <c r="AA33" i="18"/>
  <c r="U33" i="18"/>
  <c r="O33" i="18"/>
  <c r="N33" i="18"/>
  <c r="L33" i="18"/>
  <c r="J33" i="18"/>
  <c r="F33" i="18"/>
  <c r="E33" i="18"/>
  <c r="C33" i="18"/>
  <c r="B33" i="18"/>
  <c r="AA32" i="18"/>
  <c r="U32" i="18"/>
  <c r="O32" i="18"/>
  <c r="N32" i="18"/>
  <c r="L32" i="18"/>
  <c r="J32" i="18"/>
  <c r="F32" i="18"/>
  <c r="E32" i="18"/>
  <c r="C32" i="18"/>
  <c r="B32" i="18"/>
  <c r="AA31" i="18"/>
  <c r="U31" i="18"/>
  <c r="O31" i="18"/>
  <c r="N31" i="18"/>
  <c r="L31" i="18"/>
  <c r="J31" i="18"/>
  <c r="F31" i="18"/>
  <c r="E31" i="18"/>
  <c r="C31" i="18"/>
  <c r="B31" i="18"/>
  <c r="AA30" i="18"/>
  <c r="U30" i="18"/>
  <c r="O30" i="18"/>
  <c r="N30" i="18"/>
  <c r="L30" i="18"/>
  <c r="J30" i="18"/>
  <c r="F30" i="18"/>
  <c r="E30" i="18"/>
  <c r="C30" i="18"/>
  <c r="B30" i="18"/>
  <c r="AA29" i="18"/>
  <c r="U29" i="18"/>
  <c r="O29" i="18"/>
  <c r="N29" i="18"/>
  <c r="L29" i="18"/>
  <c r="J29" i="18"/>
  <c r="F29" i="18"/>
  <c r="E29" i="18"/>
  <c r="C29" i="18"/>
  <c r="B29" i="18"/>
  <c r="AA28" i="18"/>
  <c r="U28" i="18"/>
  <c r="O28" i="18"/>
  <c r="N28" i="18"/>
  <c r="L28" i="18"/>
  <c r="J28" i="18"/>
  <c r="F28" i="18"/>
  <c r="E28" i="18"/>
  <c r="C28" i="18"/>
  <c r="B28" i="18"/>
  <c r="AA27" i="18"/>
  <c r="U27" i="18"/>
  <c r="O27" i="18"/>
  <c r="N27" i="18"/>
  <c r="L27" i="18"/>
  <c r="J27" i="18"/>
  <c r="F27" i="18"/>
  <c r="E27" i="18"/>
  <c r="C27" i="18"/>
  <c r="B27" i="18"/>
  <c r="AA26" i="18"/>
  <c r="U26" i="18"/>
  <c r="O26" i="18"/>
  <c r="N26" i="18"/>
  <c r="L26" i="18"/>
  <c r="J26" i="18"/>
  <c r="F26" i="18"/>
  <c r="E26" i="18"/>
  <c r="C26" i="18"/>
  <c r="B26" i="18"/>
  <c r="AA25" i="18"/>
  <c r="U25" i="18"/>
  <c r="O25" i="18"/>
  <c r="N25" i="18"/>
  <c r="L25" i="18"/>
  <c r="J25" i="18"/>
  <c r="F25" i="18"/>
  <c r="E25" i="18"/>
  <c r="C25" i="18"/>
  <c r="B25" i="18"/>
  <c r="AA24" i="18"/>
  <c r="U24" i="18"/>
  <c r="O24" i="18"/>
  <c r="N24" i="18"/>
  <c r="L24" i="18"/>
  <c r="J24" i="18"/>
  <c r="F24" i="18"/>
  <c r="E24" i="18"/>
  <c r="C24" i="18"/>
  <c r="B24" i="18"/>
  <c r="AA23" i="18"/>
  <c r="U23" i="18"/>
  <c r="O23" i="18"/>
  <c r="N23" i="18"/>
  <c r="L23" i="18"/>
  <c r="J23" i="18"/>
  <c r="F23" i="18"/>
  <c r="E23" i="18"/>
  <c r="C23" i="18"/>
  <c r="B23" i="18"/>
  <c r="AA22" i="18"/>
  <c r="U22" i="18"/>
  <c r="O22" i="18"/>
  <c r="N22" i="18"/>
  <c r="L22" i="18"/>
  <c r="J22" i="18"/>
  <c r="F22" i="18"/>
  <c r="E22" i="18"/>
  <c r="C22" i="18"/>
  <c r="B22" i="18"/>
  <c r="AA21" i="18"/>
  <c r="U21" i="18"/>
  <c r="O21" i="18"/>
  <c r="N21" i="18"/>
  <c r="L21" i="18"/>
  <c r="J21" i="18"/>
  <c r="F21" i="18"/>
  <c r="E21" i="18"/>
  <c r="C21" i="18"/>
  <c r="B21" i="18"/>
  <c r="AA20" i="18"/>
  <c r="U20" i="18"/>
  <c r="O20" i="18"/>
  <c r="N20" i="18"/>
  <c r="L20" i="18"/>
  <c r="J20" i="18"/>
  <c r="F20" i="18"/>
  <c r="E20" i="18"/>
  <c r="C20" i="18"/>
  <c r="B20" i="18"/>
  <c r="AA19" i="18"/>
  <c r="E10" i="17" s="1"/>
  <c r="J10" i="17" s="1"/>
  <c r="U19" i="18"/>
  <c r="O19" i="18"/>
  <c r="E7" i="16" s="1"/>
  <c r="J7" i="16" s="1"/>
  <c r="N19" i="18"/>
  <c r="E6" i="16" s="1"/>
  <c r="J6" i="16" s="1"/>
  <c r="L19" i="18"/>
  <c r="E4" i="16" s="1"/>
  <c r="J4" i="16" s="1"/>
  <c r="J19" i="18"/>
  <c r="E12" i="15" s="1"/>
  <c r="J12" i="15" s="1"/>
  <c r="F19" i="18"/>
  <c r="E8" i="15" s="1"/>
  <c r="J8" i="15" s="1"/>
  <c r="E19" i="18"/>
  <c r="E7" i="15" s="1"/>
  <c r="J7" i="15" s="1"/>
  <c r="C19" i="18"/>
  <c r="E5" i="15" s="1"/>
  <c r="J5" i="15" s="1"/>
  <c r="B19" i="18"/>
  <c r="E4" i="15" s="1"/>
  <c r="J4" i="15" s="1"/>
  <c r="AA18" i="18"/>
  <c r="D10" i="17" s="1"/>
  <c r="U18" i="18"/>
  <c r="O18" i="18"/>
  <c r="D7" i="16" s="1"/>
  <c r="N18" i="18"/>
  <c r="D6" i="16" s="1"/>
  <c r="L18" i="18"/>
  <c r="D4" i="16" s="1"/>
  <c r="J18" i="18"/>
  <c r="D12" i="15" s="1"/>
  <c r="F18" i="18"/>
  <c r="D8" i="15" s="1"/>
  <c r="E18" i="18"/>
  <c r="D7" i="15" s="1"/>
  <c r="C18" i="18"/>
  <c r="D5" i="15" s="1"/>
  <c r="B18" i="18"/>
  <c r="D4" i="15" s="1"/>
  <c r="AA17" i="18"/>
  <c r="C10" i="17" s="1"/>
  <c r="U17" i="18"/>
  <c r="O17" i="18"/>
  <c r="C7" i="16" s="1"/>
  <c r="N17" i="18"/>
  <c r="C6" i="16" s="1"/>
  <c r="L17" i="18"/>
  <c r="C4" i="16" s="1"/>
  <c r="J17" i="18"/>
  <c r="C12" i="15" s="1"/>
  <c r="F17" i="18"/>
  <c r="C8" i="15" s="1"/>
  <c r="E17" i="18"/>
  <c r="C7" i="15" s="1"/>
  <c r="C17" i="18"/>
  <c r="C5" i="15" s="1"/>
  <c r="B17" i="18"/>
  <c r="C4" i="15" s="1"/>
  <c r="AA16" i="18"/>
  <c r="B10" i="17" s="1"/>
  <c r="U16" i="18"/>
  <c r="O16" i="18"/>
  <c r="B7" i="16" s="1"/>
  <c r="N16" i="18"/>
  <c r="B6" i="16" s="1"/>
  <c r="L16" i="18"/>
  <c r="B4" i="16" s="1"/>
  <c r="J16" i="18"/>
  <c r="B12" i="15" s="1"/>
  <c r="F16" i="18"/>
  <c r="B8" i="15" s="1"/>
  <c r="E16" i="18"/>
  <c r="B7" i="15" s="1"/>
  <c r="C16" i="18"/>
  <c r="B5" i="15" s="1"/>
  <c r="B16" i="18"/>
  <c r="B4" i="15" s="1"/>
  <c r="AA15" i="18"/>
  <c r="U15" i="18"/>
  <c r="O15" i="18"/>
  <c r="N15" i="18"/>
  <c r="L15" i="18"/>
  <c r="J15" i="18"/>
  <c r="F15" i="18"/>
  <c r="E15" i="18"/>
  <c r="C15" i="18"/>
  <c r="B15" i="18"/>
  <c r="AA14" i="18"/>
  <c r="U14" i="18"/>
  <c r="O14" i="18"/>
  <c r="N14" i="18"/>
  <c r="L14" i="18"/>
  <c r="J14" i="18"/>
  <c r="F14" i="18"/>
  <c r="E14" i="18"/>
  <c r="C14" i="18"/>
  <c r="B14" i="18"/>
  <c r="AA13" i="18"/>
  <c r="U13" i="18"/>
  <c r="O13" i="18"/>
  <c r="N13" i="18"/>
  <c r="L13" i="18"/>
  <c r="J13" i="18"/>
  <c r="F13" i="18"/>
  <c r="E13" i="18"/>
  <c r="C13" i="18"/>
  <c r="B13" i="18"/>
  <c r="AA12" i="18"/>
  <c r="U12" i="18"/>
  <c r="O12" i="18"/>
  <c r="N12" i="18"/>
  <c r="L12" i="18"/>
  <c r="J12" i="18"/>
  <c r="F12" i="18"/>
  <c r="E12" i="18"/>
  <c r="C12" i="18"/>
  <c r="B12" i="18"/>
  <c r="AA11" i="18"/>
  <c r="U11" i="18"/>
  <c r="O11" i="18"/>
  <c r="N11" i="18"/>
  <c r="L11" i="18"/>
  <c r="J11" i="18"/>
  <c r="F11" i="18"/>
  <c r="E11" i="18"/>
  <c r="C11" i="18"/>
  <c r="B11" i="18"/>
  <c r="AA10" i="18"/>
  <c r="U10" i="18"/>
  <c r="O10" i="18"/>
  <c r="N10" i="18"/>
  <c r="L10" i="18"/>
  <c r="J10" i="18"/>
  <c r="F10" i="18"/>
  <c r="E10" i="18"/>
  <c r="C10" i="18"/>
  <c r="B10" i="18"/>
  <c r="AA9" i="18"/>
  <c r="U9" i="18"/>
  <c r="O9" i="18"/>
  <c r="N9" i="18"/>
  <c r="L9" i="18"/>
  <c r="J9" i="18"/>
  <c r="F9" i="18"/>
  <c r="E9" i="18"/>
  <c r="C9" i="18"/>
  <c r="B9" i="18"/>
  <c r="AA8" i="18"/>
  <c r="U8" i="18"/>
  <c r="O8" i="18"/>
  <c r="N8" i="18"/>
  <c r="L8" i="18"/>
  <c r="J8" i="18"/>
  <c r="F8" i="18"/>
  <c r="E8" i="18"/>
  <c r="C8" i="18"/>
  <c r="B8" i="18"/>
  <c r="AA7" i="18"/>
  <c r="U7" i="18"/>
  <c r="O7" i="18"/>
  <c r="N7" i="18"/>
  <c r="L7" i="18"/>
  <c r="J7" i="18"/>
  <c r="F7" i="18"/>
  <c r="E7" i="18"/>
  <c r="C7" i="18"/>
  <c r="B7" i="18"/>
  <c r="AA6" i="18"/>
  <c r="U6" i="18"/>
  <c r="O6" i="18"/>
  <c r="N6" i="18"/>
  <c r="L6" i="18"/>
  <c r="J6" i="18"/>
  <c r="F6" i="18"/>
  <c r="E6" i="18"/>
  <c r="C6" i="18"/>
  <c r="B6" i="18"/>
  <c r="AA5" i="18"/>
  <c r="U5" i="18"/>
  <c r="O5" i="18"/>
  <c r="N5" i="18"/>
  <c r="L5" i="18"/>
  <c r="J5" i="18"/>
  <c r="F5" i="18"/>
  <c r="E5" i="18"/>
  <c r="C5" i="18"/>
  <c r="B5" i="18"/>
  <c r="E4" i="17" l="1"/>
  <c r="J4" i="17" s="1"/>
  <c r="E13" i="16"/>
  <c r="J13" i="16" s="1"/>
  <c r="F10" i="17"/>
  <c r="I10" i="17"/>
  <c r="D13" i="16"/>
  <c r="D4" i="17"/>
  <c r="I7" i="16"/>
  <c r="F7" i="16"/>
  <c r="I6" i="16"/>
  <c r="F6" i="16"/>
  <c r="I4" i="16"/>
  <c r="F4" i="16"/>
  <c r="I12" i="15"/>
  <c r="F12" i="15"/>
  <c r="I8" i="15"/>
  <c r="F8" i="15"/>
  <c r="I7" i="15"/>
  <c r="F7" i="15"/>
  <c r="I5" i="15"/>
  <c r="F5" i="15"/>
  <c r="I4" i="15"/>
  <c r="F4" i="15"/>
  <c r="C13" i="16"/>
  <c r="E25" i="14" s="1"/>
  <c r="C4" i="17"/>
  <c r="E27" i="14" s="1"/>
  <c r="B13" i="16"/>
  <c r="B4" i="17"/>
  <c r="C27" i="14"/>
  <c r="C25" i="14"/>
  <c r="C18" i="14"/>
  <c r="C33" i="14"/>
  <c r="C5" i="14"/>
  <c r="C8" i="14"/>
  <c r="C9" i="14"/>
  <c r="C16" i="14"/>
  <c r="G9" i="14"/>
  <c r="E18" i="14"/>
  <c r="E5" i="14"/>
  <c r="C13" i="14"/>
  <c r="E33" i="14"/>
  <c r="E13" i="14"/>
  <c r="E16" i="14"/>
  <c r="E8" i="14"/>
  <c r="E6" i="14"/>
  <c r="E9" i="14"/>
  <c r="C6" i="14"/>
  <c r="E19" i="14"/>
  <c r="C19" i="14"/>
  <c r="I14" i="14"/>
  <c r="I7" i="14"/>
  <c r="I11" i="14"/>
  <c r="I35" i="14"/>
  <c r="G12" i="14"/>
  <c r="I22" i="14"/>
  <c r="I12" i="14"/>
  <c r="I10" i="14"/>
  <c r="I37" i="14"/>
  <c r="G37" i="14"/>
  <c r="I36" i="14"/>
  <c r="G36" i="14"/>
  <c r="G35" i="14"/>
  <c r="G34" i="14"/>
  <c r="G32" i="14"/>
  <c r="I28" i="14"/>
  <c r="G28" i="14"/>
  <c r="I24" i="14"/>
  <c r="G24" i="14"/>
  <c r="I23" i="14"/>
  <c r="G22" i="14"/>
  <c r="I21" i="14"/>
  <c r="G21" i="14"/>
  <c r="G19" i="14"/>
  <c r="I17" i="14"/>
  <c r="G17" i="14"/>
  <c r="G14" i="14"/>
  <c r="I34" i="14"/>
  <c r="I32" i="14"/>
  <c r="I31" i="14"/>
  <c r="G31" i="14"/>
  <c r="I30" i="14"/>
  <c r="G30" i="14"/>
  <c r="I29" i="14"/>
  <c r="G29" i="14"/>
  <c r="G23" i="14"/>
  <c r="I20" i="14"/>
  <c r="G20" i="14"/>
  <c r="G11" i="14"/>
  <c r="G10" i="14"/>
  <c r="G7" i="14"/>
  <c r="I4" i="17" l="1"/>
  <c r="F4" i="17"/>
  <c r="F13" i="16"/>
  <c r="I13" i="16"/>
  <c r="G27" i="14"/>
  <c r="G6" i="14"/>
  <c r="I33" i="14"/>
  <c r="I27" i="14"/>
  <c r="G5" i="14"/>
  <c r="G8" i="14"/>
  <c r="I25" i="14"/>
  <c r="G25" i="14"/>
  <c r="G16" i="14"/>
  <c r="I5" i="14"/>
  <c r="H4" i="16"/>
  <c r="L16" i="14" s="1"/>
  <c r="I16" i="14"/>
  <c r="H6" i="16"/>
  <c r="L18" i="14" s="1"/>
  <c r="G33" i="14"/>
  <c r="G18" i="14"/>
  <c r="G13" i="14"/>
  <c r="I19" i="14"/>
  <c r="K19" i="14" s="1"/>
  <c r="I18" i="14"/>
  <c r="H7" i="16"/>
  <c r="L19" i="14" s="1"/>
  <c r="I13" i="14"/>
  <c r="H12" i="15"/>
  <c r="L13" i="14" s="1"/>
  <c r="H8" i="15"/>
  <c r="L9" i="14" s="1"/>
  <c r="I9" i="14"/>
  <c r="K9" i="14" s="1"/>
  <c r="I8" i="14"/>
  <c r="I6" i="14"/>
  <c r="H5" i="15"/>
  <c r="L6" i="14" s="1"/>
  <c r="H4" i="15"/>
  <c r="L5" i="14" s="1"/>
  <c r="K14" i="14"/>
  <c r="K10" i="14"/>
  <c r="K7" i="14"/>
  <c r="K17" i="14"/>
  <c r="K11" i="14"/>
  <c r="K12" i="14"/>
  <c r="K36" i="14"/>
  <c r="K35" i="14"/>
  <c r="K34" i="14"/>
  <c r="K22" i="14"/>
  <c r="K37" i="14"/>
  <c r="K32" i="14"/>
  <c r="K29" i="14"/>
  <c r="K24" i="14"/>
  <c r="K28" i="14"/>
  <c r="K23" i="14"/>
  <c r="K21" i="14"/>
  <c r="K31" i="14"/>
  <c r="K30" i="14"/>
  <c r="K20" i="14"/>
  <c r="K27" i="14" l="1"/>
  <c r="K6" i="14"/>
  <c r="K33" i="14"/>
  <c r="K5" i="14"/>
  <c r="K16" i="14"/>
  <c r="K8" i="14"/>
  <c r="K25" i="14"/>
  <c r="K18" i="14"/>
  <c r="K13" i="14"/>
</calcChain>
</file>

<file path=xl/sharedStrings.xml><?xml version="1.0" encoding="utf-8"?>
<sst xmlns="http://schemas.openxmlformats.org/spreadsheetml/2006/main" count="1425" uniqueCount="289">
  <si>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</si>
  <si>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</si>
  <si>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</si>
  <si>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</si>
  <si>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</si>
  <si>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</si>
  <si>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</si>
  <si>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</si>
  <si>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</si>
  <si>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Semaine 10</t>
  </si>
  <si>
    <t>Semaine 11</t>
  </si>
  <si>
    <t>Semaine 12</t>
  </si>
  <si>
    <t>Semaine 13</t>
  </si>
  <si>
    <t>Semaine 14</t>
  </si>
  <si>
    <t>Semaine 15</t>
  </si>
  <si>
    <t>Semaine 16</t>
  </si>
  <si>
    <t>Semaine 17</t>
  </si>
  <si>
    <t>Semaine 18</t>
  </si>
  <si>
    <t>Semaine 19</t>
  </si>
  <si>
    <t>Semaine 20</t>
  </si>
  <si>
    <t>Semaine 21</t>
  </si>
  <si>
    <t>Semaine 22</t>
  </si>
  <si>
    <t>Semaine 23</t>
  </si>
  <si>
    <t>Semaine 24</t>
  </si>
  <si>
    <t>Semaine 25</t>
  </si>
  <si>
    <t>Semaine 26</t>
  </si>
  <si>
    <t>Semaine 27</t>
  </si>
  <si>
    <t>Semaine 28</t>
  </si>
  <si>
    <t>Semaine 29</t>
  </si>
  <si>
    <t>Semaine 30</t>
  </si>
  <si>
    <t>Semaine 31</t>
  </si>
  <si>
    <t>Semaine 32</t>
  </si>
  <si>
    <t>Semaine 33</t>
  </si>
  <si>
    <t>Semaine 34</t>
  </si>
  <si>
    <t>Semaine 35</t>
  </si>
  <si>
    <t>Semaine 36</t>
  </si>
  <si>
    <t>Semaine 37</t>
  </si>
  <si>
    <t>Semaine 38</t>
  </si>
  <si>
    <t>Semaine 39</t>
  </si>
  <si>
    <t>Semaine 40</t>
  </si>
  <si>
    <t>Semaine 41</t>
  </si>
  <si>
    <t>Semaine 42</t>
  </si>
  <si>
    <t>Semaine 43</t>
  </si>
  <si>
    <t>Semaine 44</t>
  </si>
  <si>
    <t>Semaine 45</t>
  </si>
  <si>
    <t>Semaine 46</t>
  </si>
  <si>
    <t>Semaine 47</t>
  </si>
  <si>
    <t>Semaine 48</t>
  </si>
  <si>
    <t>Semaine 49</t>
  </si>
  <si>
    <t>Semaine 50</t>
  </si>
  <si>
    <t>Semaine 51</t>
  </si>
  <si>
    <t>Semaine 52</t>
  </si>
  <si>
    <t>VISTA BANK   |   TABLEAU DE BORD CONFORMITE</t>
  </si>
  <si>
    <t>FILIALE :</t>
  </si>
  <si>
    <t>Direction de la Conformite Groupe  -  Selectionnez une filiale et une periode</t>
  </si>
  <si>
    <t>SEMAINE 1 :</t>
  </si>
  <si>
    <t>SEMAINE 2 :</t>
  </si>
  <si>
    <t>SEMAINE 3 :</t>
  </si>
  <si>
    <t>SEMAINE 4 :</t>
  </si>
  <si>
    <t>Vue consolidee toutes filiales</t>
  </si>
  <si>
    <t>Vue de la filiale selectionnee</t>
  </si>
  <si>
    <t>Indicateurs de gouvernance</t>
  </si>
  <si>
    <t>Indicateurs AML et KYC</t>
  </si>
  <si>
    <t>Indicateurs sanctions</t>
  </si>
  <si>
    <t>Historique par semaine</t>
  </si>
  <si>
    <t>Saisie des donnees brutes</t>
  </si>
  <si>
    <t>Graphiques et analyses</t>
  </si>
  <si>
    <t>Definitions des KPI</t>
  </si>
  <si>
    <t>Mettre a jour le tableau</t>
  </si>
  <si>
    <t>VISTA GROUP HOLDING  |  Direction de la Conformite Groupe  |  12/04/2026</t>
  </si>
  <si>
    <t>Afficher toutes les feuilles</t>
  </si>
  <si>
    <t>METRIQUES HEBDOMADAIRES  |  VISTA GROUP HOLDING</t>
  </si>
  <si>
    <t>Filiale :</t>
  </si>
  <si>
    <t>Semaine</t>
  </si>
  <si>
    <t>Nombre de procedures inserees et a jour</t>
  </si>
  <si>
    <t>Nombre de procedures recues</t>
  </si>
  <si>
    <t>Nombre d'ETP presents</t>
  </si>
  <si>
    <t>Nombres d'ETP budgetes</t>
  </si>
  <si>
    <t>Nombre de collaborateurs permanents Conformite</t>
  </si>
  <si>
    <t>Effectif de l'entite VISTA</t>
  </si>
  <si>
    <t>Nombre de collaborateurs ayant termine les formations obligatoires</t>
  </si>
  <si>
    <t>Nombre de collaborateurs cibles (formation obligatoire Compliance)</t>
  </si>
  <si>
    <t>Nombre de plans d'actions emis (toutes missions confondues)</t>
  </si>
  <si>
    <t>Nombre de plans d'actions ouverts echus (toutes missions confondues)</t>
  </si>
  <si>
    <t>Nombre de dossiers en VR presentes en CAC (cumul)</t>
  </si>
  <si>
    <t>Nombre de dossiers EER HR topes dans le workflow KYC (cumul)</t>
  </si>
  <si>
    <t>Nombre de dossiers recertifies cumules en fin de semaine</t>
  </si>
  <si>
    <t>Nombre de dossiers HR a recertifier</t>
  </si>
  <si>
    <t>Nombre de dossiers escalades</t>
  </si>
  <si>
    <t>Nombre de PEP HR listes dans le systeme</t>
  </si>
  <si>
    <t>Nombre d'operations especes soumises a la validation de la conformite</t>
  </si>
  <si>
    <t>Nombre d'operations especes eligibles a la validation conformite</t>
  </si>
  <si>
    <t>Nombre de derogations demandees (politiques pays)</t>
  </si>
  <si>
    <t>Nombre de derogations accordees (politiques pays)</t>
  </si>
  <si>
    <t>Saisir les donnees hebdomadaires dans les cellules grises</t>
  </si>
  <si>
    <t>INDICATEURS HISTORIQUES  |  VISTA GROUP HOLDING</t>
  </si>
  <si>
    <t>Taux d'insertion procedures</t>
  </si>
  <si>
    <t>Taux de presence des ETP</t>
  </si>
  <si>
    <t>Taux de disponibilite des outils</t>
  </si>
  <si>
    <t>Poids effectifs conformite / VISTA BANK</t>
  </si>
  <si>
    <t>Taux de progression formations obligatoires</t>
  </si>
  <si>
    <t>Nb plans d'actions ouverts echus ou a echoir dans 2 semaines</t>
  </si>
  <si>
    <t>Nb PSF en defaillance (&gt;=3 fois cotes 3 ou 4)</t>
  </si>
  <si>
    <t>Nb decisions process remontes type 3 et 4</t>
  </si>
  <si>
    <t>Taux de cloture plans d'actions toutes missions</t>
  </si>
  <si>
    <t>Taux de maitrise PSF conformites realises et applicables</t>
  </si>
  <si>
    <t>Taux de presentation hebdo au CAC des dossiers en VR</t>
  </si>
  <si>
    <t>Nb de refus hebdo dossiers VR presentes au CAC</t>
  </si>
  <si>
    <t>Taux de revision cumule hebdomadaire</t>
  </si>
  <si>
    <t>Taux de conformite Escalades PEP HR</t>
  </si>
  <si>
    <t>Stock alertes transactions monitoring</t>
  </si>
  <si>
    <t>Age moyen alertes transactions monitoring</t>
  </si>
  <si>
    <t>Nb de DSB effectuees</t>
  </si>
  <si>
    <t>Nb demandes d'enquetes en suspens</t>
  </si>
  <si>
    <t>Age moyen demandes d'enquetes en suspens</t>
  </si>
  <si>
    <t>Taux de validation des operations especes</t>
  </si>
  <si>
    <t>Stock alertes name screening</t>
  </si>
  <si>
    <t>Age moyen alertes name screening en stock</t>
  </si>
  <si>
    <t>Nb alertes transactions screening en suspens</t>
  </si>
  <si>
    <t>Age moyen alertes transactions screening en stock</t>
  </si>
  <si>
    <t>Nb hebdo alertes transactions screening bloquees</t>
  </si>
  <si>
    <t>Taux de demande de derogations valides</t>
  </si>
  <si>
    <t>Nb Voluntary Sanctions Declarations remonte</t>
  </si>
  <si>
    <t>Nb Negative News remonte</t>
  </si>
  <si>
    <t>Nb tentatives de contournement remonte</t>
  </si>
  <si>
    <t>Nb whistleblowing recu et remonte</t>
  </si>
  <si>
    <t>Rouge = Calcul automatique depuis METRIQUES     Gris = Saisie manuelle</t>
  </si>
  <si>
    <t>RECAP GOUVERNANCE  |  VISTA GROUP HOLDING</t>
  </si>
  <si>
    <t>Mise a jour :</t>
  </si>
  <si>
    <t>Indicateur</t>
  </si>
  <si>
    <t>Objectif</t>
  </si>
  <si>
    <t>Statut</t>
  </si>
  <si>
    <t>Commentaires</t>
  </si>
  <si>
    <t>—</t>
  </si>
  <si>
    <t>Nb PSF en defaillance</t>
  </si>
  <si>
    <t>Taux de maitrise PSF conformites</t>
  </si>
  <si>
    <t>Vista Bank Tchad</t>
  </si>
  <si>
    <t>RECAP AML  |  VISTA GROUP HOLDING</t>
  </si>
  <si>
    <t>RECAP SANCTIONS  |  VISTA GROUP HOLDING</t>
  </si>
  <si>
    <t>TABLEAU DE BORD FILIALE  |  VISTA GROUP HOLDING</t>
  </si>
  <si>
    <t>GOUVERNANCE</t>
  </si>
  <si>
    <t>Poids effectifs conformite</t>
  </si>
  <si>
    <t>Taux progression formations</t>
  </si>
  <si>
    <t>Nb plans actions ouverts echus</t>
  </si>
  <si>
    <t>Nb decisions process type 3 et 4</t>
  </si>
  <si>
    <t>Taux cloture plans actions</t>
  </si>
  <si>
    <t>Taux maitrise PSF conformites</t>
  </si>
  <si>
    <t>AML / KYC</t>
  </si>
  <si>
    <t>Taux presentation CAC dossiers VR</t>
  </si>
  <si>
    <t>Nb refus dossiers VR au CAC</t>
  </si>
  <si>
    <t>Taux revision cumule</t>
  </si>
  <si>
    <t>Taux conformite Escalades PEP HR</t>
  </si>
  <si>
    <t>Nb DSB effectuees</t>
  </si>
  <si>
    <t>Nb demandes enquetes en suspens</t>
  </si>
  <si>
    <t>Age moyen demandes enquetes</t>
  </si>
  <si>
    <t>Taux validation operations especes</t>
  </si>
  <si>
    <t>SANCTIONS</t>
  </si>
  <si>
    <t>Age moyen alertes name screening</t>
  </si>
  <si>
    <t>Nb alertes transactions screening suspens</t>
  </si>
  <si>
    <t>Age moyen alertes transactions screening</t>
  </si>
  <si>
    <t>Nb alertes screening bloquees</t>
  </si>
  <si>
    <t>Taux derogations valides</t>
  </si>
  <si>
    <t>Nb VSD remonte</t>
  </si>
  <si>
    <t>Nb tentatives contournement</t>
  </si>
  <si>
    <t>Nb whistleblowing</t>
  </si>
  <si>
    <t>DONNEES SGBF  |  VISTA GROUP HOLDING</t>
  </si>
  <si>
    <t>Nb procedures inserees et a jour</t>
  </si>
  <si>
    <t>Nb procedures recues</t>
  </si>
  <si>
    <t>Nb ETP presents</t>
  </si>
  <si>
    <t>Nb ETP budgetes</t>
  </si>
  <si>
    <t>Nb collaborateurs permanents Conformite</t>
  </si>
  <si>
    <t>Effectif entite VISTA</t>
  </si>
  <si>
    <t>Nb collab. formations terminees</t>
  </si>
  <si>
    <t>Nb collab. cibles formations</t>
  </si>
  <si>
    <t>Nb plans actions emis</t>
  </si>
  <si>
    <t>Nb dossiers VR presentes CAC (cumul)</t>
  </si>
  <si>
    <t>Nb dossiers EER HR (cumul)</t>
  </si>
  <si>
    <t>Nb dossiers recertifies cumules</t>
  </si>
  <si>
    <t>Nb dossiers HR a recertifier</t>
  </si>
  <si>
    <t>Nb dossiers escalades</t>
  </si>
  <si>
    <t>Nb PEP HR listes systeme</t>
  </si>
  <si>
    <t>Nb operations especes soumises validation</t>
  </si>
  <si>
    <t>Nb operations especes eligibles</t>
  </si>
  <si>
    <t>Nb derogations demandees</t>
  </si>
  <si>
    <t>Nb derogations accordees</t>
  </si>
  <si>
    <t>DONNEES VBB  |  VISTA GROUP HOLDING</t>
  </si>
  <si>
    <t>DONNEES VISTA GUI  |  VISTA GROUP HOLDING</t>
  </si>
  <si>
    <t>DONNEES VISTA BANK GUINEE  |  VISTA GROUP HOLDING</t>
  </si>
  <si>
    <t>DONNEES VISTA BANK SIERRA LEONE  |  VISTA GROUP HOLDING</t>
  </si>
  <si>
    <t>DONNEES VISTA BANK GAMBIE  |  VISTA GROUP HOLDING</t>
  </si>
  <si>
    <t>DONNEES VISTA BANK MOZAMBIQUE  |  VISTA GROUP HOLDING</t>
  </si>
  <si>
    <t>DONNEES VISTA BANK FRANCE  |  VISTA GROUP HOLDING</t>
  </si>
  <si>
    <t>DONNEES VISTA BANK TCHAD  |  VISTA GROUP HOLDING</t>
  </si>
  <si>
    <t>Vista Bank Guinee</t>
  </si>
  <si>
    <t>TABLEAU DE BORD GROUPE  |  VISTA GROUP HOLDING</t>
  </si>
  <si>
    <t>13/04/2026</t>
  </si>
  <si>
    <t>SGBF</t>
  </si>
  <si>
    <t>VBB</t>
  </si>
  <si>
    <t>Vista Gui</t>
  </si>
  <si>
    <t>Vista Bank Sierra Leone</t>
  </si>
  <si>
    <t>Vista Bank Gambie</t>
  </si>
  <si>
    <t>Vista Bank Mozambique</t>
  </si>
  <si>
    <t>Vista Bank France</t>
  </si>
  <si>
    <t>MOYENNE GROUPE</t>
  </si>
  <si>
    <t>Min</t>
  </si>
  <si>
    <t>Max</t>
  </si>
  <si>
    <t>Age moyen alertes transactions</t>
  </si>
  <si>
    <t>Nb alertes transactions screening</t>
  </si>
  <si>
    <t>BASE GRAPHIQUES  |  VISTA GROUP HOLDING</t>
  </si>
  <si>
    <t>Section</t>
  </si>
  <si>
    <t>Definition</t>
  </si>
  <si>
    <t>AML</t>
  </si>
  <si>
    <t>Nb VR / Nb EER HR</t>
  </si>
  <si>
    <t>Sanctions</t>
  </si>
  <si>
    <t>Voluntary Sanctions Declarations</t>
  </si>
  <si>
    <t>Negative News</t>
  </si>
  <si>
    <t>Whistleblowing</t>
  </si>
  <si>
    <t>LEXIQUE — INDICATEURS CLES  |  VISTA GROUP HOLDING</t>
  </si>
  <si>
    <t>Calcul</t>
  </si>
  <si>
    <t>Periodicite</t>
  </si>
  <si>
    <t>Gouvernance</t>
  </si>
  <si>
    <t>Proportion de procedures inserees et a jour</t>
  </si>
  <si>
    <t>Nb inserees / Nb recues</t>
  </si>
  <si>
    <t>Hebdomadaire</t>
  </si>
  <si>
    <t>Proportion d'ETP presents vs budgetes</t>
  </si>
  <si>
    <t>Nb presents / Nb budgetes</t>
  </si>
  <si>
    <t>Taux de disponibilite des outils de conformite</t>
  </si>
  <si>
    <t>Saisie manuelle</t>
  </si>
  <si>
    <t>Collaborateurs permanents conformite vs effectif total</t>
  </si>
  <si>
    <t>Nb permanents / Effectif VISTA</t>
  </si>
  <si>
    <t>Collaborateurs ayant termine les formations obligatoires</t>
  </si>
  <si>
    <t>Nb formes / Nb cibles</t>
  </si>
  <si>
    <t>Plans d'actions ouverts echus</t>
  </si>
  <si>
    <t>Plans ouverts echus ou a echoir dans 2 semaines</t>
  </si>
  <si>
    <t>PSF en defaillance</t>
  </si>
  <si>
    <t>PSF cotes 3 ou 4 au moins 3 fois</t>
  </si>
  <si>
    <t>Decisions process type 3 et 4</t>
  </si>
  <si>
    <t>Decisions de type 3 et 4 remontees a la gouvernance</t>
  </si>
  <si>
    <t>Taux de cloture plans d'actions</t>
  </si>
  <si>
    <t>Plans d'actions clos vs total emis</t>
  </si>
  <si>
    <t>1 - (Nb echus / Nb emis)</t>
  </si>
  <si>
    <t>Taux de maitrise PSF</t>
  </si>
  <si>
    <t>PSF conformite realises et applicables</t>
  </si>
  <si>
    <t>Dossiers VR presentes au Comite d'Approbation de Credit</t>
  </si>
  <si>
    <t>Dossiers VR refuses au Comite d'Approbation de Credit</t>
  </si>
  <si>
    <t>Taux de revision cumule</t>
  </si>
  <si>
    <t>Dossiers recertifies vs dossiers a recertifier</t>
  </si>
  <si>
    <t>Nb recertifies / Nb a recertifier</t>
  </si>
  <si>
    <t>Taux de conformite des escalades PEP Haut Risque</t>
  </si>
  <si>
    <t>Nb escalades / Nb PEP HR listes</t>
  </si>
  <si>
    <t>Alertes de surveillance des transactions en attente</t>
  </si>
  <si>
    <t>Age moyen alertes monitoring</t>
  </si>
  <si>
    <t>Age moyen en jours des alertes monitoring en stock</t>
  </si>
  <si>
    <t>Declarations de Soupcons effectuees dans la semaine</t>
  </si>
  <si>
    <t>Demandes d'enquetes toujours en attente</t>
  </si>
  <si>
    <t>Age moyen demandes d'enquetes</t>
  </si>
  <si>
    <t>Age moyen en jours des demandes d'enquetes en suspens</t>
  </si>
  <si>
    <t>Operations especes validees par la conformite</t>
  </si>
  <si>
    <t>Nb soumises / Nb eligibles</t>
  </si>
  <si>
    <t>Alertes de name screening en stock</t>
  </si>
  <si>
    <t>Age moyen en jours des alertes name screening</t>
  </si>
  <si>
    <t>Alertes transactions screening en suspens</t>
  </si>
  <si>
    <t>Alertes de screening des transactions en attente</t>
  </si>
  <si>
    <t>Age moyen en jours des alertes transactions screening</t>
  </si>
  <si>
    <t>Alertes screening bloquees</t>
  </si>
  <si>
    <t>Alertes de transactions screening bloquees dans la semaine</t>
  </si>
  <si>
    <t>Demandes de derogations accordees</t>
  </si>
  <si>
    <t>Nb accordees / Nb demandees</t>
  </si>
  <si>
    <t>Declarations volontaires de sanctions remontees</t>
  </si>
  <si>
    <t>Informations negatives remontees dans la semaine</t>
  </si>
  <si>
    <t>Tentatives de contournement</t>
  </si>
  <si>
    <t>Tentatives de contournement identifiees et remontees</t>
  </si>
  <si>
    <t>Signalements recus et remontes a la hierarchie</t>
  </si>
  <si>
    <t>Filiale : SGBF   |   Direction de la Conformite</t>
  </si>
  <si>
    <t>VISTA GROUP HOLDING</t>
  </si>
  <si>
    <t/>
  </si>
  <si>
    <t>TABLEAU DE BORD CONFORMITE  |  Compliance Dashboard</t>
  </si>
  <si>
    <t>Entrez votre code PIN  /  Enter your PIN</t>
  </si>
  <si>
    <t>Direction de la Conformite Groupe  |  Vista Group Holding  |  2026</t>
  </si>
  <si>
    <t>***</t>
  </si>
  <si>
    <t>N/A</t>
  </si>
  <si>
    <t>Non  disponible</t>
  </si>
  <si>
    <t>ND</t>
  </si>
  <si>
    <t>Selectionnez une section pour afficher les graphiques</t>
  </si>
  <si>
    <t>GOUVERNANCE  |  S9 — S10 — S11 — S12</t>
  </si>
  <si>
    <t>S14 (M-1)</t>
  </si>
  <si>
    <t>Variation S14 vs S15</t>
  </si>
  <si>
    <t>S15 (M)</t>
  </si>
  <si>
    <t>Consolidation Groupe  |  9 Filiales  |  S12 — S13 — S14 — S15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</si>
</sst>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\+0.0%;\-0.0%;&quot;—&quot;"/>
    <numFmt numFmtId="166" formatCode="\+#,##0;\-#,##0;&quot;—&quot;"/>
  </numFmts>
  <fonts count="43" x14ac:knownFonts="1">
    <font>
      <sz val="11"/>
      <color theme="1"/>
      <name val="Aptos Narrow"/>
      <family val="2"/>
      <scheme val="minor"/>
    </font>
    <font>
      <b/>
      <sz val="22"/>
      <color rgb="FFFFFFFF"/>
      <name val="Aptos Narrow"/>
      <family val="2"/>
      <scheme val="minor"/>
    </font>
    <font>
      <i/>
      <sz val="10"/>
      <color rgb="FFFFC8C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"/>
      <color rgb="FFFFDCDC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9"/>
      <color rgb="FFFFC8C8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i/>
      <sz val="8"/>
      <color rgb="FFB4B4B4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99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8"/>
      <color rgb="FFFFFFFF"/>
      <name val="Aptos Narrow"/>
      <family val="2"/>
      <scheme val="minor"/>
    </font>
    <font>
      <sz val="11"/>
      <color rgb="FF323232"/>
      <name val="Aptos Narrow"/>
      <family val="2"/>
      <scheme val="minor"/>
    </font>
    <font>
      <i/>
      <sz val="9"/>
      <color rgb="FF990000"/>
      <name val="Aptos Narrow"/>
      <family val="2"/>
      <scheme val="minor"/>
    </font>
    <font>
      <sz val="8"/>
      <color theme="1"/>
      <name val="Aptos Narrow"/>
      <family val="2"/>
      <scheme val="minor"/>
    </font>
    <font>
      <i/>
      <sz val="8"/>
      <color rgb="FF50505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9"/>
      <color rgb="FFFFFFFF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DCDC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9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99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9"/>
      <color rgb="FF990000"/>
      <name val="Aptos Narrow"/>
      <family val="2"/>
      <scheme val="minor"/>
    </font>
    <font>
      <sz val="9"/>
      <color rgb="FF990000"/>
      <name val="Aptos Narrow"/>
      <family val="2"/>
      <scheme val="minor"/>
    </font>
    <font>
      <sz val="9"/>
      <color rgb="FF006400"/>
      <name val="Aptos Narrow"/>
      <family val="2"/>
      <scheme val="minor"/>
    </font>
    <font>
      <b/>
      <sz val="8"/>
      <color rgb="FF990000"/>
      <name val="Aptos Narrow"/>
      <family val="2"/>
      <scheme val="minor"/>
    </font>
    <font>
      <b/>
      <sz val="32"/>
      <color rgb="FFFFFFFF"/>
      <name val="Aptos Narrow"/>
      <family val="2"/>
      <scheme val="minor"/>
    </font>
    <font>
      <i/>
      <sz val="11"/>
      <color rgb="FFB4B4B4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b/>
      <sz val="9"/>
      <color rgb="FFFF5050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0"/>
      <color rgb="FF000000"/>
      <name val="Aptos Narrow"/>
      <family val="2"/>
    </font>
    <font>
      <b/>
      <sz val="8"/>
      <color rgb="FF000000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141414"/>
        <bgColor indexed="64"/>
      </patternFill>
    </fill>
  </fills>
  <borders count="25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990000"/>
      </bottom>
      <diagonal/>
    </border>
    <border>
      <left/>
      <right style="thin">
        <color rgb="FFC8C8C8"/>
      </right>
      <top style="thin">
        <color rgb="FFC8C8C8"/>
      </top>
      <bottom style="medium">
        <color rgb="FF990000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990000"/>
      </bottom>
      <diagonal/>
    </border>
    <border>
      <left style="thin">
        <color rgb="FFC8C8C8"/>
      </left>
      <right style="medium">
        <color rgb="FF000000"/>
      </right>
      <top/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/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/>
      <top style="thin">
        <color rgb="FFC8C8C8"/>
      </top>
      <bottom style="medium">
        <color rgb="FF990000"/>
      </bottom>
      <diagonal/>
    </border>
    <border>
      <left style="thin">
        <color rgb="FFC8C8C8"/>
      </left>
      <right/>
      <top/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/>
      <diagonal/>
    </border>
    <border>
      <left style="thin">
        <color rgb="FFC8C8C8"/>
      </left>
      <right/>
      <top style="thin">
        <color rgb="FFC8C8C8"/>
      </top>
      <bottom style="medium">
        <color rgb="FF000000"/>
      </bottom>
      <diagonal/>
    </border>
    <border>
      <left style="medium">
        <color rgb="FF990000"/>
      </left>
      <right style="medium">
        <color rgb="FF990000"/>
      </right>
      <top style="medium">
        <color rgb="FF990000"/>
      </top>
      <bottom style="medium">
        <color rgb="FF990000"/>
      </bottom>
      <diagonal/>
    </border>
    <border>
      <left style="medium">
        <color rgb="FF990000"/>
      </left>
      <right/>
      <top style="medium">
        <color rgb="FF990000"/>
      </top>
      <bottom style="medium">
        <color rgb="FF990000"/>
      </bottom>
      <diagonal/>
    </border>
    <border>
      <left/>
      <right/>
      <top style="medium">
        <color rgb="FF990000"/>
      </top>
      <bottom style="medium">
        <color rgb="FF990000"/>
      </bottom>
      <diagonal/>
    </border>
    <border>
      <left/>
      <right style="medium">
        <color rgb="FF990000"/>
      </right>
      <top style="medium">
        <color rgb="FF990000"/>
      </top>
      <bottom style="medium">
        <color rgb="FF990000"/>
      </bottom>
      <diagonal/>
    </border>
  </borders>
  <cellStyleXfs count="2">
    <xf numFmtId="0" fontId="0" fillId="0" borderId="0"/>
    <xf numFmtId="9" fontId="28" fillId="0" borderId="0" applyFont="0" applyFill="0" applyBorder="0" applyAlignment="0" applyProtection="0"/>
  </cellStyleXfs>
  <cellXfs count="240">
    <xf numFmtId="0" fontId="0" fillId="0" borderId="0" xfId="0"/>
    <xf numFmtId="0" fontId="0" fillId="2" borderId="0" xfId="0" applyFill="1"/>
    <xf numFmtId="0" fontId="0" fillId="4" borderId="0" xfId="0" applyFill="1"/>
    <xf numFmtId="0" fontId="3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0" fillId="5" borderId="0" xfId="0" applyFill="1"/>
    <xf numFmtId="0" fontId="6" fillId="5" borderId="0" xfId="0" applyFont="1" applyFill="1" applyAlignment="1">
      <alignment horizontal="left" vertical="center"/>
    </xf>
    <xf numFmtId="0" fontId="0" fillId="3" borderId="0" xfId="0" applyFill="1"/>
    <xf numFmtId="0" fontId="10" fillId="0" borderId="0" xfId="0" applyFont="1" applyAlignment="1">
      <alignment horizontal="right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3" fontId="15" fillId="6" borderId="1" xfId="0" applyNumberFormat="1" applyFont="1" applyFill="1" applyBorder="1" applyAlignment="1">
      <alignment horizontal="center" vertical="center"/>
    </xf>
    <xf numFmtId="3" fontId="15" fillId="6" borderId="2" xfId="0" applyNumberFormat="1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3" fontId="15" fillId="6" borderId="5" xfId="0" applyNumberFormat="1" applyFont="1" applyFill="1" applyBorder="1" applyAlignment="1">
      <alignment horizontal="center" vertical="center"/>
    </xf>
    <xf numFmtId="3" fontId="15" fillId="6" borderId="6" xfId="0" applyNumberFormat="1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3" fontId="15" fillId="6" borderId="11" xfId="0" applyNumberFormat="1" applyFont="1" applyFill="1" applyBorder="1" applyAlignment="1">
      <alignment horizontal="center" vertical="center"/>
    </xf>
    <xf numFmtId="3" fontId="15" fillId="6" borderId="12" xfId="0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3" fontId="15" fillId="6" borderId="15" xfId="0" applyNumberFormat="1" applyFont="1" applyFill="1" applyBorder="1" applyAlignment="1">
      <alignment horizontal="center" vertical="center"/>
    </xf>
    <xf numFmtId="3" fontId="15" fillId="6" borderId="13" xfId="0" applyNumberFormat="1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center" vertical="center" wrapText="1"/>
    </xf>
    <xf numFmtId="3" fontId="15" fillId="6" borderId="17" xfId="0" applyNumberFormat="1" applyFont="1" applyFill="1" applyBorder="1" applyAlignment="1">
      <alignment horizontal="center" vertical="center"/>
    </xf>
    <xf numFmtId="3" fontId="15" fillId="6" borderId="18" xfId="0" applyNumberFormat="1" applyFont="1" applyFill="1" applyBorder="1" applyAlignment="1">
      <alignment horizontal="center" vertical="center"/>
    </xf>
    <xf numFmtId="3" fontId="15" fillId="6" borderId="19" xfId="0" applyNumberFormat="1" applyFont="1" applyFill="1" applyBorder="1" applyAlignment="1">
      <alignment horizontal="center" vertical="center"/>
    </xf>
    <xf numFmtId="3" fontId="15" fillId="6" borderId="20" xfId="0" applyNumberFormat="1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 wrapText="1"/>
    </xf>
    <xf numFmtId="3" fontId="15" fillId="6" borderId="9" xfId="0" applyNumberFormat="1" applyFont="1" applyFill="1" applyBorder="1" applyAlignment="1">
      <alignment horizontal="center" vertical="center"/>
    </xf>
    <xf numFmtId="3" fontId="15" fillId="6" borderId="7" xfId="0" applyNumberFormat="1" applyFont="1" applyFill="1" applyBorder="1" applyAlignment="1">
      <alignment horizontal="center" vertical="center"/>
    </xf>
    <xf numFmtId="3" fontId="15" fillId="6" borderId="10" xfId="0" applyNumberFormat="1" applyFont="1" applyFill="1" applyBorder="1" applyAlignment="1">
      <alignment horizontal="center" vertical="center"/>
    </xf>
    <xf numFmtId="3" fontId="15" fillId="6" borderId="14" xfId="0" applyNumberFormat="1" applyFont="1" applyFill="1" applyBorder="1" applyAlignment="1">
      <alignment horizontal="center" vertical="center"/>
    </xf>
    <xf numFmtId="0" fontId="16" fillId="0" borderId="0" xfId="0" applyFont="1"/>
    <xf numFmtId="164" fontId="15" fillId="6" borderId="1" xfId="0" applyNumberFormat="1" applyFont="1" applyFill="1" applyBorder="1" applyAlignment="1">
      <alignment horizontal="center" vertical="center"/>
    </xf>
    <xf numFmtId="3" fontId="15" fillId="9" borderId="1" xfId="0" applyNumberFormat="1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 wrapText="1"/>
    </xf>
    <xf numFmtId="164" fontId="15" fillId="6" borderId="6" xfId="0" applyNumberFormat="1" applyFont="1" applyFill="1" applyBorder="1" applyAlignment="1">
      <alignment horizontal="center" vertical="center"/>
    </xf>
    <xf numFmtId="164" fontId="15" fillId="6" borderId="11" xfId="0" applyNumberFormat="1" applyFont="1" applyFill="1" applyBorder="1" applyAlignment="1">
      <alignment horizontal="center" vertical="center"/>
    </xf>
    <xf numFmtId="164" fontId="15" fillId="6" borderId="12" xfId="0" applyNumberFormat="1" applyFont="1" applyFill="1" applyBorder="1" applyAlignment="1">
      <alignment horizontal="center" vertical="center"/>
    </xf>
    <xf numFmtId="3" fontId="15" fillId="9" borderId="12" xfId="0" applyNumberFormat="1" applyFont="1" applyFill="1" applyBorder="1" applyAlignment="1">
      <alignment horizontal="center" vertical="center"/>
    </xf>
    <xf numFmtId="164" fontId="15" fillId="6" borderId="15" xfId="0" applyNumberFormat="1" applyFont="1" applyFill="1" applyBorder="1" applyAlignment="1">
      <alignment horizontal="center" vertical="center"/>
    </xf>
    <xf numFmtId="164" fontId="15" fillId="6" borderId="13" xfId="0" applyNumberFormat="1" applyFont="1" applyFill="1" applyBorder="1" applyAlignment="1">
      <alignment horizontal="center" vertical="center"/>
    </xf>
    <xf numFmtId="3" fontId="15" fillId="9" borderId="13" xfId="0" applyNumberFormat="1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3" fontId="15" fillId="9" borderId="18" xfId="0" applyNumberFormat="1" applyFont="1" applyFill="1" applyBorder="1" applyAlignment="1">
      <alignment horizontal="center" vertical="center"/>
    </xf>
    <xf numFmtId="3" fontId="15" fillId="9" borderId="19" xfId="0" applyNumberFormat="1" applyFont="1" applyFill="1" applyBorder="1" applyAlignment="1">
      <alignment horizontal="center" vertical="center"/>
    </xf>
    <xf numFmtId="3" fontId="15" fillId="9" borderId="20" xfId="0" applyNumberFormat="1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 wrapText="1"/>
    </xf>
    <xf numFmtId="3" fontId="15" fillId="9" borderId="7" xfId="0" applyNumberFormat="1" applyFont="1" applyFill="1" applyBorder="1" applyAlignment="1">
      <alignment horizontal="center" vertical="center"/>
    </xf>
    <xf numFmtId="3" fontId="15" fillId="9" borderId="10" xfId="0" applyNumberFormat="1" applyFont="1" applyFill="1" applyBorder="1" applyAlignment="1">
      <alignment horizontal="center" vertical="center"/>
    </xf>
    <xf numFmtId="3" fontId="15" fillId="9" borderId="14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164" fontId="0" fillId="4" borderId="1" xfId="0" applyNumberForma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9" fontId="10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9" fontId="10" fillId="6" borderId="1" xfId="0" applyNumberFormat="1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5" fontId="5" fillId="4" borderId="2" xfId="0" applyNumberFormat="1" applyFont="1" applyFill="1" applyBorder="1" applyAlignment="1">
      <alignment horizontal="center" vertical="center"/>
    </xf>
    <xf numFmtId="9" fontId="10" fillId="4" borderId="2" xfId="0" applyNumberFormat="1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164" fontId="0" fillId="4" borderId="5" xfId="0" applyNumberFormat="1" applyFill="1" applyBorder="1" applyAlignment="1">
      <alignment horizontal="center" vertical="center"/>
    </xf>
    <xf numFmtId="164" fontId="0" fillId="6" borderId="6" xfId="0" applyNumberForma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left" vertical="center" wrapText="1"/>
    </xf>
    <xf numFmtId="0" fontId="21" fillId="6" borderId="7" xfId="0" applyFont="1" applyFill="1" applyBorder="1" applyAlignment="1">
      <alignment horizontal="left" vertical="center" wrapText="1"/>
    </xf>
    <xf numFmtId="0" fontId="21" fillId="4" borderId="7" xfId="0" applyFont="1" applyFill="1" applyBorder="1" applyAlignment="1">
      <alignment horizontal="left" vertical="center" wrapText="1"/>
    </xf>
    <xf numFmtId="0" fontId="21" fillId="4" borderId="10" xfId="0" applyFont="1" applyFill="1" applyBorder="1" applyAlignment="1">
      <alignment horizontal="left" vertical="center" wrapText="1"/>
    </xf>
    <xf numFmtId="164" fontId="0" fillId="4" borderId="11" xfId="0" applyNumberFormat="1" applyFill="1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165" fontId="5" fillId="4" borderId="12" xfId="0" applyNumberFormat="1" applyFont="1" applyFill="1" applyBorder="1" applyAlignment="1">
      <alignment horizontal="center" vertical="center"/>
    </xf>
    <xf numFmtId="9" fontId="10" fillId="4" borderId="12" xfId="0" applyNumberFormat="1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1" fillId="6" borderId="14" xfId="0" applyFont="1" applyFill="1" applyBorder="1" applyAlignment="1">
      <alignment horizontal="left" vertical="center" wrapText="1"/>
    </xf>
    <xf numFmtId="3" fontId="0" fillId="6" borderId="15" xfId="0" applyNumberFormat="1" applyFill="1" applyBorder="1" applyAlignment="1">
      <alignment horizontal="center" vertical="center"/>
    </xf>
    <xf numFmtId="3" fontId="0" fillId="6" borderId="13" xfId="0" applyNumberFormat="1" applyFill="1" applyBorder="1" applyAlignment="1">
      <alignment horizontal="center" vertical="center"/>
    </xf>
    <xf numFmtId="166" fontId="5" fillId="6" borderId="13" xfId="0" applyNumberFormat="1" applyFont="1" applyFill="1" applyBorder="1" applyAlignment="1">
      <alignment horizontal="center" vertical="center"/>
    </xf>
    <xf numFmtId="9" fontId="10" fillId="6" borderId="13" xfId="0" applyNumberFormat="1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 wrapText="1"/>
    </xf>
    <xf numFmtId="164" fontId="0" fillId="4" borderId="17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3" fontId="0" fillId="4" borderId="18" xfId="0" applyNumberFormat="1" applyFill="1" applyBorder="1" applyAlignment="1">
      <alignment horizontal="center" vertical="center"/>
    </xf>
    <xf numFmtId="164" fontId="0" fillId="4" borderId="18" xfId="0" applyNumberFormat="1" applyFill="1" applyBorder="1" applyAlignment="1">
      <alignment horizontal="center" vertical="center"/>
    </xf>
    <xf numFmtId="3" fontId="0" fillId="6" borderId="18" xfId="0" applyNumberForma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3" fontId="0" fillId="6" borderId="20" xfId="0" applyNumberFormat="1" applyFill="1" applyBorder="1" applyAlignment="1">
      <alignment horizontal="center" vertical="center"/>
    </xf>
    <xf numFmtId="0" fontId="0" fillId="9" borderId="9" xfId="0" applyFill="1" applyBorder="1" applyAlignment="1">
      <alignment horizontal="left" vertical="center" wrapText="1"/>
    </xf>
    <xf numFmtId="0" fontId="0" fillId="9" borderId="7" xfId="0" applyFill="1" applyBorder="1" applyAlignment="1">
      <alignment horizontal="left" vertical="center" wrapText="1"/>
    </xf>
    <xf numFmtId="0" fontId="0" fillId="9" borderId="10" xfId="0" applyFill="1" applyBorder="1" applyAlignment="1">
      <alignment horizontal="left" vertical="center" wrapText="1"/>
    </xf>
    <xf numFmtId="0" fontId="0" fillId="9" borderId="14" xfId="0" applyFill="1" applyBorder="1" applyAlignment="1">
      <alignment horizontal="left" vertical="center" wrapText="1"/>
    </xf>
    <xf numFmtId="0" fontId="21" fillId="6" borderId="10" xfId="0" applyFont="1" applyFill="1" applyBorder="1" applyAlignment="1">
      <alignment horizontal="left" vertical="center" wrapText="1"/>
    </xf>
    <xf numFmtId="3" fontId="0" fillId="6" borderId="11" xfId="0" applyNumberFormat="1" applyFill="1" applyBorder="1" applyAlignment="1">
      <alignment horizontal="center" vertical="center"/>
    </xf>
    <xf numFmtId="3" fontId="0" fillId="6" borderId="12" xfId="0" applyNumberFormat="1" applyFill="1" applyBorder="1" applyAlignment="1">
      <alignment horizontal="center" vertical="center"/>
    </xf>
    <xf numFmtId="166" fontId="5" fillId="6" borderId="12" xfId="0" applyNumberFormat="1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/>
    </xf>
    <xf numFmtId="0" fontId="21" fillId="4" borderId="14" xfId="0" applyFont="1" applyFill="1" applyBorder="1" applyAlignment="1">
      <alignment horizontal="left" vertical="center" wrapText="1"/>
    </xf>
    <xf numFmtId="3" fontId="0" fillId="4" borderId="15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166" fontId="5" fillId="4" borderId="13" xfId="0" applyNumberFormat="1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3" fontId="0" fillId="6" borderId="19" xfId="0" applyNumberFormat="1" applyFill="1" applyBorder="1" applyAlignment="1">
      <alignment horizontal="center" vertical="center"/>
    </xf>
    <xf numFmtId="3" fontId="0" fillId="4" borderId="20" xfId="0" applyNumberForma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left" vertical="center" wrapText="1"/>
    </xf>
    <xf numFmtId="164" fontId="7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5" fillId="4" borderId="1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left" vertical="center" wrapText="1"/>
    </xf>
    <xf numFmtId="164" fontId="7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0" fontId="5" fillId="6" borderId="1" xfId="0" applyFont="1" applyFill="1" applyBorder="1" applyAlignment="1">
      <alignment horizontal="center" vertical="center"/>
    </xf>
    <xf numFmtId="3" fontId="7" fillId="4" borderId="1" xfId="0" applyNumberFormat="1" applyFont="1" applyFill="1" applyBorder="1" applyAlignment="1">
      <alignment horizontal="center" vertical="center"/>
    </xf>
    <xf numFmtId="3" fontId="7" fillId="6" borderId="1" xfId="0" applyNumberFormat="1" applyFont="1" applyFill="1" applyBorder="1" applyAlignment="1">
      <alignment horizontal="center" vertical="center"/>
    </xf>
    <xf numFmtId="0" fontId="25" fillId="5" borderId="0" xfId="0" applyFont="1" applyFill="1" applyAlignment="1">
      <alignment horizontal="right"/>
    </xf>
    <xf numFmtId="0" fontId="25" fillId="5" borderId="0" xfId="0" applyFont="1" applyFill="1" applyAlignment="1">
      <alignment horizontal="right" vertical="center"/>
    </xf>
    <xf numFmtId="0" fontId="26" fillId="5" borderId="0" xfId="0" applyFont="1" applyFill="1" applyAlignment="1">
      <alignment horizontal="left" vertical="center"/>
    </xf>
    <xf numFmtId="14" fontId="12" fillId="5" borderId="0" xfId="0" applyNumberFormat="1" applyFont="1" applyFill="1" applyAlignment="1">
      <alignment horizontal="left"/>
    </xf>
    <xf numFmtId="0" fontId="20" fillId="3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left"/>
    </xf>
    <xf numFmtId="0" fontId="14" fillId="2" borderId="1" xfId="0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164" fontId="33" fillId="4" borderId="1" xfId="0" applyNumberFormat="1" applyFont="1" applyFill="1" applyBorder="1" applyAlignment="1">
      <alignment horizontal="center" vertical="center"/>
    </xf>
    <xf numFmtId="164" fontId="34" fillId="4" borderId="1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164" fontId="29" fillId="6" borderId="1" xfId="0" applyNumberFormat="1" applyFont="1" applyFill="1" applyBorder="1" applyAlignment="1">
      <alignment horizontal="center" vertical="center"/>
    </xf>
    <xf numFmtId="164" fontId="33" fillId="6" borderId="1" xfId="0" applyNumberFormat="1" applyFont="1" applyFill="1" applyBorder="1" applyAlignment="1">
      <alignment horizontal="center" vertical="center"/>
    </xf>
    <xf numFmtId="164" fontId="34" fillId="6" borderId="1" xfId="0" applyNumberFormat="1" applyFont="1" applyFill="1" applyBorder="1" applyAlignment="1">
      <alignment horizontal="center" vertical="center"/>
    </xf>
    <xf numFmtId="3" fontId="29" fillId="6" borderId="1" xfId="0" applyNumberFormat="1" applyFont="1" applyFill="1" applyBorder="1" applyAlignment="1">
      <alignment horizontal="center" vertical="center"/>
    </xf>
    <xf numFmtId="3" fontId="33" fillId="6" borderId="1" xfId="0" applyNumberFormat="1" applyFont="1" applyFill="1" applyBorder="1" applyAlignment="1">
      <alignment horizontal="center" vertical="center"/>
    </xf>
    <xf numFmtId="3" fontId="34" fillId="6" borderId="1" xfId="0" applyNumberFormat="1" applyFont="1" applyFill="1" applyBorder="1" applyAlignment="1">
      <alignment horizontal="center" vertical="center"/>
    </xf>
    <xf numFmtId="3" fontId="29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3" fontId="34" fillId="4" borderId="1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 wrapText="1"/>
    </xf>
    <xf numFmtId="164" fontId="29" fillId="4" borderId="6" xfId="0" applyNumberFormat="1" applyFont="1" applyFill="1" applyBorder="1" applyAlignment="1">
      <alignment horizontal="center" vertical="center"/>
    </xf>
    <xf numFmtId="164" fontId="29" fillId="6" borderId="6" xfId="0" applyNumberFormat="1" applyFont="1" applyFill="1" applyBorder="1" applyAlignment="1">
      <alignment horizontal="center" vertical="center"/>
    </xf>
    <xf numFmtId="3" fontId="29" fillId="6" borderId="6" xfId="0" applyNumberFormat="1" applyFont="1" applyFill="1" applyBorder="1" applyAlignment="1">
      <alignment horizontal="center" vertical="center"/>
    </xf>
    <xf numFmtId="3" fontId="29" fillId="4" borderId="6" xfId="0" applyNumberFormat="1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23" fillId="4" borderId="7" xfId="0" applyFont="1" applyFill="1" applyBorder="1" applyAlignment="1">
      <alignment horizontal="left" vertical="center" wrapText="1"/>
    </xf>
    <xf numFmtId="0" fontId="23" fillId="6" borderId="7" xfId="0" applyFont="1" applyFill="1" applyBorder="1" applyAlignment="1">
      <alignment horizontal="left" vertical="center" wrapText="1"/>
    </xf>
    <xf numFmtId="0" fontId="14" fillId="2" borderId="18" xfId="0" applyFont="1" applyFill="1" applyBorder="1" applyAlignment="1">
      <alignment horizontal="center" vertical="center" wrapText="1"/>
    </xf>
    <xf numFmtId="164" fontId="29" fillId="4" borderId="18" xfId="0" applyNumberFormat="1" applyFont="1" applyFill="1" applyBorder="1" applyAlignment="1">
      <alignment horizontal="center" vertical="center"/>
    </xf>
    <xf numFmtId="164" fontId="29" fillId="6" borderId="18" xfId="0" applyNumberFormat="1" applyFont="1" applyFill="1" applyBorder="1" applyAlignment="1">
      <alignment horizontal="center" vertical="center"/>
    </xf>
    <xf numFmtId="3" fontId="29" fillId="6" borderId="18" xfId="0" applyNumberFormat="1" applyFont="1" applyFill="1" applyBorder="1" applyAlignment="1">
      <alignment horizontal="center" vertical="center"/>
    </xf>
    <xf numFmtId="3" fontId="29" fillId="4" borderId="18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9" fontId="32" fillId="4" borderId="6" xfId="0" applyNumberFormat="1" applyFont="1" applyFill="1" applyBorder="1" applyAlignment="1">
      <alignment horizontal="center" vertical="center"/>
    </xf>
    <xf numFmtId="9" fontId="32" fillId="6" borderId="6" xfId="0" applyNumberFormat="1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 wrapText="1"/>
    </xf>
    <xf numFmtId="164" fontId="31" fillId="10" borderId="7" xfId="0" applyNumberFormat="1" applyFont="1" applyFill="1" applyBorder="1" applyAlignment="1">
      <alignment horizontal="center" vertical="center"/>
    </xf>
    <xf numFmtId="3" fontId="31" fillId="10" borderId="7" xfId="0" applyNumberFormat="1" applyFont="1" applyFill="1" applyBorder="1" applyAlignment="1">
      <alignment horizontal="center" vertical="center"/>
    </xf>
    <xf numFmtId="0" fontId="0" fillId="2" borderId="0" xfId="0" applyFill="1" applyProtection="1">
      <protection locked="0"/>
    </xf>
    <xf numFmtId="0" fontId="35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left" vertical="center" wrapText="1"/>
    </xf>
    <xf numFmtId="9" fontId="35" fillId="4" borderId="1" xfId="0" applyNumberFormat="1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9" fontId="35" fillId="6" borderId="1" xfId="0" applyNumberFormat="1" applyFont="1" applyFill="1" applyBorder="1" applyAlignment="1">
      <alignment horizontal="center" vertical="center" wrapText="1"/>
    </xf>
    <xf numFmtId="0" fontId="35" fillId="4" borderId="2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left" vertical="center" wrapText="1"/>
    </xf>
    <xf numFmtId="0" fontId="17" fillId="4" borderId="2" xfId="0" applyFont="1" applyFill="1" applyBorder="1" applyAlignment="1">
      <alignment horizontal="left" vertical="center" wrapText="1"/>
    </xf>
    <xf numFmtId="9" fontId="35" fillId="4" borderId="2" xfId="0" applyNumberFormat="1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/>
    </xf>
    <xf numFmtId="0" fontId="0" fillId="11" borderId="0" xfId="0" applyFill="1"/>
    <xf numFmtId="0" fontId="0" fillId="12" borderId="21" xfId="0" applyFill="1" applyBorder="1"/>
    <xf numFmtId="9" fontId="15" fillId="9" borderId="1" xfId="1" applyFont="1" applyFill="1" applyBorder="1" applyAlignment="1">
      <alignment horizontal="center" vertical="center"/>
    </xf>
    <xf numFmtId="9" fontId="7" fillId="4" borderId="1" xfId="1" applyFon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3" fontId="0" fillId="4" borderId="1" xfId="1" applyNumberFormat="1" applyFont="1" applyFill="1" applyBorder="1" applyAlignment="1">
      <alignment horizontal="center" vertical="center"/>
    </xf>
    <xf numFmtId="164" fontId="29" fillId="4" borderId="6" xfId="1" applyNumberFormat="1" applyFont="1" applyFill="1" applyBorder="1" applyAlignment="1">
      <alignment horizontal="center" vertical="center"/>
    </xf>
    <xf numFmtId="164" fontId="29" fillId="4" borderId="1" xfId="1" applyNumberFormat="1" applyFont="1" applyFill="1" applyBorder="1" applyAlignment="1">
      <alignment horizontal="center" vertical="center"/>
    </xf>
    <xf numFmtId="164" fontId="29" fillId="4" borderId="18" xfId="1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0" fillId="14" borderId="0" xfId="0" applyFill="1"/>
    <xf numFmtId="0" fontId="18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36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37" fillId="12" borderId="22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center" vertical="center"/>
    </xf>
    <xf numFmtId="0" fontId="0" fillId="12" borderId="24" xfId="0" applyFill="1" applyBorder="1" applyAlignment="1">
      <alignment horizontal="center" vertical="center"/>
    </xf>
    <xf numFmtId="49" fontId="38" fillId="13" borderId="21" xfId="0" applyNumberFormat="1" applyFont="1" applyFill="1" applyBorder="1" applyAlignment="1">
      <alignment horizontal="center" vertical="center"/>
    </xf>
    <xf numFmtId="0" fontId="0" fillId="12" borderId="21" xfId="0" applyFill="1" applyBorder="1" applyAlignment="1">
      <alignment horizontal="center" vertical="center"/>
    </xf>
    <xf numFmtId="0" fontId="39" fillId="12" borderId="2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23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0" fontId="9" fillId="3" borderId="0" xfId="0" applyFont="1" applyFill="1" applyAlignment="1">
      <alignment horizontal="center" vertical="center"/>
    </xf>
    <xf numFmtId="0" fontId="18" fillId="8" borderId="9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</cellXfs>
  <cellStyles count="2">
    <cellStyle name="Normal" xfId="0" builtinId="0"/>
    <cellStyle name="Pourcentage" xfId="1" builtinId="5"/>
  </cellStyles>
  <dxfs count="26">
    <dxf>
      <font>
        <b/>
        <i val="0"/>
        <color rgb="FF990000"/>
      </font>
      <fill>
        <patternFill>
          <bgColor rgb="FFFFDCDC"/>
        </patternFill>
      </fill>
    </dxf>
    <dxf>
      <font>
        <b/>
        <i val="0"/>
        <color rgb="FF994C00"/>
      </font>
      <fill>
        <patternFill>
          <bgColor rgb="FFFFF3DC"/>
        </patternFill>
      </fill>
    </dxf>
    <dxf>
      <font>
        <b/>
        <i val="0"/>
        <color rgb="FF006400"/>
      </font>
      <fill>
        <patternFill>
          <bgColor rgb="FFDCF5DC"/>
        </patternFill>
      </fill>
    </dxf>
    <dxf>
      <font>
        <b/>
        <i val="0"/>
        <color rgb="FF990000"/>
      </font>
    </dxf>
    <dxf>
      <font>
        <b/>
        <i val="0"/>
        <color rgb="FF006400"/>
      </font>
    </dxf>
    <dxf>
      <font>
        <color rgb="FF990000"/>
      </font>
      <fill>
        <patternFill>
          <bgColor rgb="FFFFDCDC"/>
        </patternFill>
      </fill>
    </dxf>
    <dxf>
      <font>
        <color rgb="FF994C00"/>
      </font>
      <fill>
        <patternFill>
          <bgColor rgb="FFFFF3DC"/>
        </patternFill>
      </fill>
    </dxf>
    <dxf>
      <font>
        <color rgb="FF006400"/>
      </font>
      <fill>
        <patternFill>
          <bgColor rgb="FFDCF5DC"/>
        </patternFill>
      </fill>
    </dxf>
    <dxf>
      <font>
        <b/>
        <i val="0"/>
        <color rgb="FF990000"/>
      </font>
    </dxf>
    <dxf>
      <font>
        <b/>
        <i val="0"/>
        <color rgb="FF006400"/>
      </font>
    </dxf>
    <dxf>
      <font>
        <color rgb="FF990000"/>
      </font>
      <fill>
        <patternFill>
          <bgColor rgb="FFFFDCDC"/>
        </patternFill>
      </fill>
    </dxf>
    <dxf>
      <font>
        <color rgb="FF994C00"/>
      </font>
      <fill>
        <patternFill>
          <bgColor rgb="FFFFF3DC"/>
        </patternFill>
      </fill>
    </dxf>
    <dxf>
      <font>
        <color rgb="FF006400"/>
      </font>
      <fill>
        <patternFill>
          <bgColor rgb="FFDCF5DC"/>
        </patternFill>
      </fill>
    </dxf>
    <dxf>
      <font>
        <b/>
        <i val="0"/>
        <color rgb="FF990000"/>
      </font>
    </dxf>
    <dxf>
      <font>
        <b/>
        <i val="0"/>
        <color rgb="FF006400"/>
      </font>
    </dxf>
    <dxf>
      <font>
        <color rgb="FF990000"/>
      </font>
      <fill>
        <patternFill>
          <bgColor rgb="FFFFDCDC"/>
        </patternFill>
      </fill>
    </dxf>
    <dxf>
      <font>
        <color rgb="FF994C00"/>
      </font>
      <fill>
        <patternFill>
          <bgColor rgb="FFFFF3DC"/>
        </patternFill>
      </fill>
    </dxf>
    <dxf>
      <font>
        <color rgb="FF006400"/>
      </font>
      <fill>
        <patternFill>
          <bgColor rgb="FFDCF5DC"/>
        </patternFill>
      </fill>
    </dxf>
    <dxf>
      <font>
        <b/>
        <i val="0"/>
        <color rgb="FF990000"/>
      </font>
    </dxf>
    <dxf>
      <font>
        <b/>
        <i val="0"/>
        <color rgb="FF006400"/>
      </font>
    </dxf>
    <dxf>
      <font>
        <color rgb="FF990000"/>
      </font>
      <fill>
        <patternFill>
          <bgColor rgb="FFFFDCDC"/>
        </patternFill>
      </fill>
    </dxf>
    <dxf>
      <font>
        <color rgb="FF994C00"/>
      </font>
      <fill>
        <patternFill>
          <bgColor rgb="FFFFF3DC"/>
        </patternFill>
      </fill>
    </dxf>
    <dxf>
      <font>
        <color rgb="FF006400"/>
      </font>
      <fill>
        <patternFill>
          <bgColor rgb="FFDCF5DC"/>
        </patternFill>
      </fill>
    </dxf>
    <dxf>
      <font>
        <color rgb="FF990000"/>
      </font>
      <fill>
        <patternFill>
          <bgColor rgb="FFFFDCDC"/>
        </patternFill>
      </fill>
    </dxf>
    <dxf>
      <font>
        <color rgb="FF994C00"/>
      </font>
      <fill>
        <patternFill>
          <bgColor rgb="FFFFF3DC"/>
        </patternFill>
      </fill>
    </dxf>
    <dxf>
      <font>
        <color rgb="FF006400"/>
      </font>
      <fill>
        <patternFill>
          <bgColor rgb="FFDCF5D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/>
            </a:pPr>
            <a:r>
              <a:rPr lang="fr-FR"/>
              <a:t>Taux d'insertion procedures  (obj: 95%)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Taux d'insertion procedures</c:v>
          </c:tx>
          <c:invertIfNegative val="0"/>
          <c:dPt>
            <c:idx val="0"/>
            <c:invertIfNegative val="0"/>
            <c:bubble3D val="0"/>
            <c:spPr>
              <a:solidFill>
                <a:srgbClr val="990000"/>
              </a:solidFill>
            </c:spPr>
            <c:extLst>
              <c:ext xmlns:c16="http://schemas.microsoft.com/office/drawing/2014/chart" uri="{C3380CC4-5D6E-409C-BE32-E72D297353CC}">
                <c16:uniqueId val="{00000003-E47D-4520-8C31-F7C809C605B6}"/>
              </c:ext>
            </c:extLst>
          </c:dPt>
          <c:dPt>
            <c:idx val="1"/>
            <c:invertIfNegative val="0"/>
            <c:bubble3D val="0"/>
            <c:spPr>
              <a:solidFill>
                <a:srgbClr val="C85050"/>
              </a:solidFill>
            </c:spPr>
            <c:extLst>
              <c:ext xmlns:c16="http://schemas.microsoft.com/office/drawing/2014/chart" uri="{C3380CC4-5D6E-409C-BE32-E72D297353CC}">
                <c16:uniqueId val="{00000004-E47D-4520-8C31-F7C809C605B6}"/>
              </c:ext>
            </c:extLst>
          </c:dPt>
          <c:dPt>
            <c:idx val="2"/>
            <c:invertIfNegative val="0"/>
            <c:bubble3D val="0"/>
            <c:spPr>
              <a:solidFill>
                <a:srgbClr val="5050A0"/>
              </a:solidFill>
            </c:spPr>
            <c:extLst>
              <c:ext xmlns:c16="http://schemas.microsoft.com/office/drawing/2014/chart" uri="{C3380CC4-5D6E-409C-BE32-E72D297353CC}">
                <c16:uniqueId val="{00000005-E47D-4520-8C31-F7C809C605B6}"/>
              </c:ext>
            </c:extLst>
          </c:dPt>
          <c:dPt>
            <c:idx val="3"/>
            <c:invertIfNegative val="0"/>
            <c:bubble3D val="0"/>
            <c:spPr>
              <a:solidFill>
                <a:srgbClr val="0064A0"/>
              </a:solidFill>
            </c:spPr>
            <c:extLst>
              <c:ext xmlns:c16="http://schemas.microsoft.com/office/drawing/2014/chart" uri="{C3380CC4-5D6E-409C-BE32-E72D297353CC}">
                <c16:uniqueId val="{00000006-E47D-4520-8C31-F7C809C605B6}"/>
              </c:ext>
            </c:extLst>
          </c:dPt>
          <c:cat>
            <c:strLit>
              <c:ptCount val="4"/>
              <c:pt idx="0">
                <c:v>S9</c:v>
              </c:pt>
              <c:pt idx="1">
                <c:v>S10</c:v>
              </c:pt>
              <c:pt idx="2">
                <c:v>S11</c:v>
              </c:pt>
              <c:pt idx="3">
                <c:v>S12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E47D-4520-8C31-F7C809C60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344128"/>
        <c:axId val="1322329728"/>
      </c:barChart>
      <c:catAx>
        <c:axId val="132234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322329728"/>
        <c:crosses val="autoZero"/>
        <c:auto val="1"/>
        <c:lblAlgn val="ctr"/>
        <c:lblOffset val="100"/>
        <c:noMultiLvlLbl val="0"/>
      </c:catAx>
      <c:valAx>
        <c:axId val="1322329728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322344128"/>
        <c:crosses val="autoZero"/>
        <c:crossBetween val="between"/>
      </c:valAx>
      <c:spPr>
        <a:solidFill>
          <a:srgbClr val="FAFAFA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99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/>
            </a:pPr>
            <a:r>
              <a:rPr lang="fr-FR"/>
              <a:t>Taux de presence des ETP  (obj: 98%)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Taux de presence des ETP</c:v>
          </c:tx>
          <c:invertIfNegative val="0"/>
          <c:dPt>
            <c:idx val="0"/>
            <c:invertIfNegative val="0"/>
            <c:bubble3D val="0"/>
            <c:spPr>
              <a:solidFill>
                <a:srgbClr val="990000"/>
              </a:solidFill>
            </c:spPr>
            <c:extLst>
              <c:ext xmlns:c16="http://schemas.microsoft.com/office/drawing/2014/chart" uri="{C3380CC4-5D6E-409C-BE32-E72D297353CC}">
                <c16:uniqueId val="{00000003-FA74-4891-9C55-54A2662F2E69}"/>
              </c:ext>
            </c:extLst>
          </c:dPt>
          <c:dPt>
            <c:idx val="1"/>
            <c:invertIfNegative val="0"/>
            <c:bubble3D val="0"/>
            <c:spPr>
              <a:solidFill>
                <a:srgbClr val="C85050"/>
              </a:solidFill>
            </c:spPr>
            <c:extLst>
              <c:ext xmlns:c16="http://schemas.microsoft.com/office/drawing/2014/chart" uri="{C3380CC4-5D6E-409C-BE32-E72D297353CC}">
                <c16:uniqueId val="{00000004-FA74-4891-9C55-54A2662F2E69}"/>
              </c:ext>
            </c:extLst>
          </c:dPt>
          <c:dPt>
            <c:idx val="2"/>
            <c:invertIfNegative val="0"/>
            <c:bubble3D val="0"/>
            <c:spPr>
              <a:solidFill>
                <a:srgbClr val="5050A0"/>
              </a:solidFill>
            </c:spPr>
            <c:extLst>
              <c:ext xmlns:c16="http://schemas.microsoft.com/office/drawing/2014/chart" uri="{C3380CC4-5D6E-409C-BE32-E72D297353CC}">
                <c16:uniqueId val="{00000005-FA74-4891-9C55-54A2662F2E69}"/>
              </c:ext>
            </c:extLst>
          </c:dPt>
          <c:dPt>
            <c:idx val="3"/>
            <c:invertIfNegative val="0"/>
            <c:bubble3D val="0"/>
            <c:spPr>
              <a:solidFill>
                <a:srgbClr val="0064A0"/>
              </a:solidFill>
            </c:spPr>
            <c:extLst>
              <c:ext xmlns:c16="http://schemas.microsoft.com/office/drawing/2014/chart" uri="{C3380CC4-5D6E-409C-BE32-E72D297353CC}">
                <c16:uniqueId val="{00000006-FA74-4891-9C55-54A2662F2E69}"/>
              </c:ext>
            </c:extLst>
          </c:dPt>
          <c:cat>
            <c:strLit>
              <c:ptCount val="4"/>
              <c:pt idx="0">
                <c:v>S9</c:v>
              </c:pt>
              <c:pt idx="1">
                <c:v>S10</c:v>
              </c:pt>
              <c:pt idx="2">
                <c:v>S11</c:v>
              </c:pt>
              <c:pt idx="3">
                <c:v>S12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FA74-4891-9C55-54A2662F2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355168"/>
        <c:axId val="1322353248"/>
      </c:barChart>
      <c:catAx>
        <c:axId val="132235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322353248"/>
        <c:crosses val="autoZero"/>
        <c:auto val="1"/>
        <c:lblAlgn val="ctr"/>
        <c:lblOffset val="100"/>
        <c:noMultiLvlLbl val="0"/>
      </c:catAx>
      <c:valAx>
        <c:axId val="1322353248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322355168"/>
        <c:crosses val="autoZero"/>
        <c:crossBetween val="between"/>
      </c:valAx>
      <c:spPr>
        <a:solidFill>
          <a:srgbClr val="FAFAFA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99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/>
            </a:pPr>
            <a:r>
              <a:rPr lang="fr-FR"/>
              <a:t>Taux de disponibilite des outils  (obj: 99%)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Taux de disponibilite des outils</c:v>
          </c:tx>
          <c:invertIfNegative val="0"/>
          <c:dPt>
            <c:idx val="0"/>
            <c:invertIfNegative val="0"/>
            <c:bubble3D val="0"/>
            <c:spPr>
              <a:solidFill>
                <a:srgbClr val="990000"/>
              </a:solidFill>
            </c:spPr>
            <c:extLst>
              <c:ext xmlns:c16="http://schemas.microsoft.com/office/drawing/2014/chart" uri="{C3380CC4-5D6E-409C-BE32-E72D297353CC}">
                <c16:uniqueId val="{00000003-EACF-4472-BF9C-4BC6D9E56AE8}"/>
              </c:ext>
            </c:extLst>
          </c:dPt>
          <c:dPt>
            <c:idx val="1"/>
            <c:invertIfNegative val="0"/>
            <c:bubble3D val="0"/>
            <c:spPr>
              <a:solidFill>
                <a:srgbClr val="C85050"/>
              </a:solidFill>
            </c:spPr>
            <c:extLst>
              <c:ext xmlns:c16="http://schemas.microsoft.com/office/drawing/2014/chart" uri="{C3380CC4-5D6E-409C-BE32-E72D297353CC}">
                <c16:uniqueId val="{00000004-EACF-4472-BF9C-4BC6D9E56AE8}"/>
              </c:ext>
            </c:extLst>
          </c:dPt>
          <c:dPt>
            <c:idx val="2"/>
            <c:invertIfNegative val="0"/>
            <c:bubble3D val="0"/>
            <c:spPr>
              <a:solidFill>
                <a:srgbClr val="5050A0"/>
              </a:solidFill>
            </c:spPr>
            <c:extLst>
              <c:ext xmlns:c16="http://schemas.microsoft.com/office/drawing/2014/chart" uri="{C3380CC4-5D6E-409C-BE32-E72D297353CC}">
                <c16:uniqueId val="{00000005-EACF-4472-BF9C-4BC6D9E56AE8}"/>
              </c:ext>
            </c:extLst>
          </c:dPt>
          <c:dPt>
            <c:idx val="3"/>
            <c:invertIfNegative val="0"/>
            <c:bubble3D val="0"/>
            <c:spPr>
              <a:solidFill>
                <a:srgbClr val="0064A0"/>
              </a:solidFill>
            </c:spPr>
            <c:extLst>
              <c:ext xmlns:c16="http://schemas.microsoft.com/office/drawing/2014/chart" uri="{C3380CC4-5D6E-409C-BE32-E72D297353CC}">
                <c16:uniqueId val="{00000006-EACF-4472-BF9C-4BC6D9E56AE8}"/>
              </c:ext>
            </c:extLst>
          </c:dPt>
          <c:cat>
            <c:strLit>
              <c:ptCount val="4"/>
              <c:pt idx="0">
                <c:v>S9</c:v>
              </c:pt>
              <c:pt idx="1">
                <c:v>S10</c:v>
              </c:pt>
              <c:pt idx="2">
                <c:v>S11</c:v>
              </c:pt>
              <c:pt idx="3">
                <c:v>S12</c:v>
              </c:pt>
            </c:strLit>
          </c:cat>
          <c: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EACF-4472-BF9C-4BC6D9E56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977776"/>
        <c:axId val="1459978736"/>
      </c:barChart>
      <c:catAx>
        <c:axId val="145997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78736"/>
        <c:crosses val="autoZero"/>
        <c:auto val="1"/>
        <c:lblAlgn val="ctr"/>
        <c:lblOffset val="100"/>
        <c:noMultiLvlLbl val="0"/>
      </c:catAx>
      <c:valAx>
        <c:axId val="145997873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77776"/>
        <c:crosses val="autoZero"/>
        <c:crossBetween val="between"/>
      </c:valAx>
      <c:spPr>
        <a:solidFill>
          <a:srgbClr val="FAFAFA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99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/>
            </a:pPr>
            <a:r>
              <a:rPr lang="fr-FR"/>
              <a:t>Taux de progression formations  (obj: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Taux de progression formations</c:v>
          </c:tx>
          <c:invertIfNegative val="0"/>
          <c:dPt>
            <c:idx val="0"/>
            <c:invertIfNegative val="0"/>
            <c:bubble3D val="0"/>
            <c:spPr>
              <a:solidFill>
                <a:srgbClr val="990000"/>
              </a:solidFill>
            </c:spPr>
            <c:extLst>
              <c:ext xmlns:c16="http://schemas.microsoft.com/office/drawing/2014/chart" uri="{C3380CC4-5D6E-409C-BE32-E72D297353CC}">
                <c16:uniqueId val="{00000003-7150-4245-A8FC-934A23D92D36}"/>
              </c:ext>
            </c:extLst>
          </c:dPt>
          <c:dPt>
            <c:idx val="1"/>
            <c:invertIfNegative val="0"/>
            <c:bubble3D val="0"/>
            <c:spPr>
              <a:solidFill>
                <a:srgbClr val="C85050"/>
              </a:solidFill>
            </c:spPr>
            <c:extLst>
              <c:ext xmlns:c16="http://schemas.microsoft.com/office/drawing/2014/chart" uri="{C3380CC4-5D6E-409C-BE32-E72D297353CC}">
                <c16:uniqueId val="{00000004-7150-4245-A8FC-934A23D92D36}"/>
              </c:ext>
            </c:extLst>
          </c:dPt>
          <c:dPt>
            <c:idx val="2"/>
            <c:invertIfNegative val="0"/>
            <c:bubble3D val="0"/>
            <c:spPr>
              <a:solidFill>
                <a:srgbClr val="5050A0"/>
              </a:solidFill>
            </c:spPr>
            <c:extLst>
              <c:ext xmlns:c16="http://schemas.microsoft.com/office/drawing/2014/chart" uri="{C3380CC4-5D6E-409C-BE32-E72D297353CC}">
                <c16:uniqueId val="{00000005-7150-4245-A8FC-934A23D92D36}"/>
              </c:ext>
            </c:extLst>
          </c:dPt>
          <c:dPt>
            <c:idx val="3"/>
            <c:invertIfNegative val="0"/>
            <c:bubble3D val="0"/>
            <c:spPr>
              <a:solidFill>
                <a:srgbClr val="0064A0"/>
              </a:solidFill>
            </c:spPr>
            <c:extLst>
              <c:ext xmlns:c16="http://schemas.microsoft.com/office/drawing/2014/chart" uri="{C3380CC4-5D6E-409C-BE32-E72D297353CC}">
                <c16:uniqueId val="{00000006-7150-4245-A8FC-934A23D92D36}"/>
              </c:ext>
            </c:extLst>
          </c:dPt>
          <c:cat>
            <c:strLit>
              <c:ptCount val="4"/>
              <c:pt idx="0">
                <c:v>S9</c:v>
              </c:pt>
              <c:pt idx="1">
                <c:v>S10</c:v>
              </c:pt>
              <c:pt idx="2">
                <c:v>S11</c:v>
              </c:pt>
              <c:pt idx="3">
                <c:v>S12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150-4245-A8FC-934A23D92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983536"/>
        <c:axId val="1459984016"/>
      </c:barChart>
      <c:catAx>
        <c:axId val="145998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84016"/>
        <c:crosses val="autoZero"/>
        <c:auto val="1"/>
        <c:lblAlgn val="ctr"/>
        <c:lblOffset val="100"/>
        <c:noMultiLvlLbl val="0"/>
      </c:catAx>
      <c:valAx>
        <c:axId val="145998401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83536"/>
        <c:crosses val="autoZero"/>
        <c:crossBetween val="between"/>
      </c:valAx>
      <c:spPr>
        <a:solidFill>
          <a:srgbClr val="FAFAFA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99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/>
            </a:pPr>
            <a:r>
              <a:rPr lang="fr-FR"/>
              <a:t>Taux de cloture plans d'actions  (obj: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Taux de cloture plans d'actions</c:v>
          </c:tx>
          <c:invertIfNegative val="0"/>
          <c:dPt>
            <c:idx val="0"/>
            <c:invertIfNegative val="0"/>
            <c:bubble3D val="0"/>
            <c:spPr>
              <a:solidFill>
                <a:srgbClr val="990000"/>
              </a:solidFill>
            </c:spPr>
            <c:extLst>
              <c:ext xmlns:c16="http://schemas.microsoft.com/office/drawing/2014/chart" uri="{C3380CC4-5D6E-409C-BE32-E72D297353CC}">
                <c16:uniqueId val="{00000003-5CF9-4877-956E-DB001F824910}"/>
              </c:ext>
            </c:extLst>
          </c:dPt>
          <c:dPt>
            <c:idx val="1"/>
            <c:invertIfNegative val="0"/>
            <c:bubble3D val="0"/>
            <c:spPr>
              <a:solidFill>
                <a:srgbClr val="C85050"/>
              </a:solidFill>
            </c:spPr>
            <c:extLst>
              <c:ext xmlns:c16="http://schemas.microsoft.com/office/drawing/2014/chart" uri="{C3380CC4-5D6E-409C-BE32-E72D297353CC}">
                <c16:uniqueId val="{00000004-5CF9-4877-956E-DB001F824910}"/>
              </c:ext>
            </c:extLst>
          </c:dPt>
          <c:dPt>
            <c:idx val="2"/>
            <c:invertIfNegative val="0"/>
            <c:bubble3D val="0"/>
            <c:spPr>
              <a:solidFill>
                <a:srgbClr val="5050A0"/>
              </a:solidFill>
            </c:spPr>
            <c:extLst>
              <c:ext xmlns:c16="http://schemas.microsoft.com/office/drawing/2014/chart" uri="{C3380CC4-5D6E-409C-BE32-E72D297353CC}">
                <c16:uniqueId val="{00000005-5CF9-4877-956E-DB001F824910}"/>
              </c:ext>
            </c:extLst>
          </c:dPt>
          <c:dPt>
            <c:idx val="3"/>
            <c:invertIfNegative val="0"/>
            <c:bubble3D val="0"/>
            <c:spPr>
              <a:solidFill>
                <a:srgbClr val="0064A0"/>
              </a:solidFill>
            </c:spPr>
            <c:extLst>
              <c:ext xmlns:c16="http://schemas.microsoft.com/office/drawing/2014/chart" uri="{C3380CC4-5D6E-409C-BE32-E72D297353CC}">
                <c16:uniqueId val="{00000006-5CF9-4877-956E-DB001F824910}"/>
              </c:ext>
            </c:extLst>
          </c:dPt>
          <c:cat>
            <c:strLit>
              <c:ptCount val="4"/>
              <c:pt idx="0">
                <c:v>S9</c:v>
              </c:pt>
              <c:pt idx="1">
                <c:v>S10</c:v>
              </c:pt>
              <c:pt idx="2">
                <c:v>S11</c:v>
              </c:pt>
              <c:pt idx="3">
                <c:v>S12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5CF9-4877-956E-DB001F824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987376"/>
        <c:axId val="1459987856"/>
      </c:barChart>
      <c:catAx>
        <c:axId val="145998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87856"/>
        <c:crosses val="autoZero"/>
        <c:auto val="1"/>
        <c:lblAlgn val="ctr"/>
        <c:lblOffset val="100"/>
        <c:noMultiLvlLbl val="0"/>
      </c:catAx>
      <c:valAx>
        <c:axId val="14599878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87376"/>
        <c:crosses val="autoZero"/>
        <c:crossBetween val="between"/>
      </c:valAx>
      <c:spPr>
        <a:solidFill>
          <a:srgbClr val="FAFAFA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99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/>
            </a:pPr>
            <a:r>
              <a:rPr lang="fr-FR"/>
              <a:t>Taux de maitrise PSF conformites  (obj: 86%)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Taux de maitrise PSF conformites</c:v>
          </c:tx>
          <c:invertIfNegative val="0"/>
          <c:dPt>
            <c:idx val="0"/>
            <c:invertIfNegative val="0"/>
            <c:bubble3D val="0"/>
            <c:spPr>
              <a:solidFill>
                <a:srgbClr val="990000"/>
              </a:solidFill>
            </c:spPr>
            <c:extLst>
              <c:ext xmlns:c16="http://schemas.microsoft.com/office/drawing/2014/chart" uri="{C3380CC4-5D6E-409C-BE32-E72D297353CC}">
                <c16:uniqueId val="{00000003-CC88-4F69-B9CA-E7A3F38A239A}"/>
              </c:ext>
            </c:extLst>
          </c:dPt>
          <c:dPt>
            <c:idx val="1"/>
            <c:invertIfNegative val="0"/>
            <c:bubble3D val="0"/>
            <c:spPr>
              <a:solidFill>
                <a:srgbClr val="C85050"/>
              </a:solidFill>
            </c:spPr>
            <c:extLst>
              <c:ext xmlns:c16="http://schemas.microsoft.com/office/drawing/2014/chart" uri="{C3380CC4-5D6E-409C-BE32-E72D297353CC}">
                <c16:uniqueId val="{00000004-CC88-4F69-B9CA-E7A3F38A239A}"/>
              </c:ext>
            </c:extLst>
          </c:dPt>
          <c:dPt>
            <c:idx val="2"/>
            <c:invertIfNegative val="0"/>
            <c:bubble3D val="0"/>
            <c:spPr>
              <a:solidFill>
                <a:srgbClr val="5050A0"/>
              </a:solidFill>
            </c:spPr>
            <c:extLst>
              <c:ext xmlns:c16="http://schemas.microsoft.com/office/drawing/2014/chart" uri="{C3380CC4-5D6E-409C-BE32-E72D297353CC}">
                <c16:uniqueId val="{00000005-CC88-4F69-B9CA-E7A3F38A239A}"/>
              </c:ext>
            </c:extLst>
          </c:dPt>
          <c:dPt>
            <c:idx val="3"/>
            <c:invertIfNegative val="0"/>
            <c:bubble3D val="0"/>
            <c:spPr>
              <a:solidFill>
                <a:srgbClr val="0064A0"/>
              </a:solidFill>
            </c:spPr>
            <c:extLst>
              <c:ext xmlns:c16="http://schemas.microsoft.com/office/drawing/2014/chart" uri="{C3380CC4-5D6E-409C-BE32-E72D297353CC}">
                <c16:uniqueId val="{00000006-CC88-4F69-B9CA-E7A3F38A239A}"/>
              </c:ext>
            </c:extLst>
          </c:dPt>
          <c:cat>
            <c:strLit>
              <c:ptCount val="4"/>
              <c:pt idx="0">
                <c:v>S9</c:v>
              </c:pt>
              <c:pt idx="1">
                <c:v>S10</c:v>
              </c:pt>
              <c:pt idx="2">
                <c:v>S11</c:v>
              </c:pt>
              <c:pt idx="3">
                <c:v>S12</c:v>
              </c:pt>
            </c:strLit>
          </c:cat>
          <c:val>
            <c:numLit>
              <c:formatCode>General</c:formatCode>
              <c:ptCount val="4"/>
              <c:pt idx="0">
                <c:v>0.9</c:v>
              </c:pt>
              <c:pt idx="1">
                <c:v>0.9</c:v>
              </c:pt>
              <c:pt idx="2">
                <c:v>0.9</c:v>
              </c:pt>
              <c:pt idx="3">
                <c:v>0.9</c:v>
              </c:pt>
            </c:numLit>
          </c:val>
          <c:extLst>
            <c:ext xmlns:c16="http://schemas.microsoft.com/office/drawing/2014/chart" uri="{C3380CC4-5D6E-409C-BE32-E72D297353CC}">
              <c16:uniqueId val="{00000002-CC88-4F69-B9CA-E7A3F38A2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989776"/>
        <c:axId val="1459991216"/>
      </c:barChart>
      <c:catAx>
        <c:axId val="14599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91216"/>
        <c:crosses val="autoZero"/>
        <c:auto val="1"/>
        <c:lblAlgn val="ctr"/>
        <c:lblOffset val="100"/>
        <c:noMultiLvlLbl val="0"/>
      </c:catAx>
      <c:valAx>
        <c:axId val="145999121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59989776"/>
        <c:crosses val="autoZero"/>
        <c:crossBetween val="between"/>
      </c:valAx>
      <c:spPr>
        <a:solidFill>
          <a:srgbClr val="FAFAFA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99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31" fmlaLink="ACCUEIL!$P$1" noThreeD="1" sel="3" val="0">
  <itemLst>
    <item val="SGBF"/>
    <item val="VBB"/>
    <item val="Vista Gui"/>
    <item val="Vista Bank Guinee"/>
    <item val="Vista Bank Sierra Leone"/>
    <item val="Vista Bank Gambie"/>
    <item val="Vista Bank Mozambique"/>
    <item val="Vista Bank France"/>
    <item val="Vista Bank Tchad"/>
  </itemLst>
</formControlPr>
</file>

<file path=xl/ctrlProps/ctrlProp3.xml><?xml version="1.0" encoding="utf-8"?>
<formControlPr xmlns="http://schemas.microsoft.com/office/spreadsheetml/2009/9/main" objectType="Drop" dropStyle="combo" dx="31" fmlaLink="ACCUEIL!$P$2" noThreeD="1" sel="12" val="11">
  <itemLst>
    <item val="Semaine 1"/>
    <item val="Semaine 2"/>
    <item val="Semaine 3"/>
    <item val="Semaine 4"/>
    <item val="Semaine 5"/>
    <item val="Semaine 6"/>
    <item val="Semaine 7"/>
    <item val="Semaine 8"/>
    <item val="Semaine 9"/>
    <item val="Semaine 10"/>
    <item val="Semaine 11"/>
    <item val="Semaine 12"/>
    <item val="Semaine 13"/>
    <item val="Semaine 14"/>
    <item val="Semaine 15"/>
    <item val="Semaine 16"/>
    <item val="Semaine 17"/>
    <item val="Semaine 18"/>
    <item val="Semaine 19"/>
    <item val="Semaine 20"/>
    <item val="Semaine 21"/>
    <item val="Semaine 22"/>
    <item val="Semaine 23"/>
    <item val="Semaine 24"/>
    <item val="Semaine 25"/>
    <item val="Semaine 26"/>
    <item val="Semaine 27"/>
    <item val="Semaine 28"/>
    <item val="Semaine 29"/>
    <item val="Semaine 30"/>
    <item val="Semaine 31"/>
    <item val="Semaine 32"/>
    <item val="Semaine 33"/>
    <item val="Semaine 34"/>
    <item val="Semaine 35"/>
    <item val="Semaine 36"/>
    <item val="Semaine 37"/>
    <item val="Semaine 38"/>
    <item val="Semaine 39"/>
    <item val="Semaine 40"/>
    <item val="Semaine 41"/>
    <item val="Semaine 42"/>
    <item val="Semaine 43"/>
    <item val="Semaine 44"/>
    <item val="Semaine 45"/>
    <item val="Semaine 46"/>
    <item val="Semaine 47"/>
    <item val="Semaine 48"/>
    <item val="Semaine 49"/>
    <item val="Semaine 50"/>
    <item val="Semaine 51"/>
    <item val="Semaine 52"/>
  </itemLst>
</formControlPr>
</file>

<file path=xl/ctrlProps/ctrlProp4.xml><?xml version="1.0" encoding="utf-8"?>
<formControlPr xmlns="http://schemas.microsoft.com/office/spreadsheetml/2009/9/main" objectType="Drop" dropStyle="combo" dx="31" fmlaLink="ACCUEIL!$P$3" noThreeD="1" sel="13" val="12">
  <itemLst>
    <item val="Semaine 1"/>
    <item val="Semaine 2"/>
    <item val="Semaine 3"/>
    <item val="Semaine 4"/>
    <item val="Semaine 5"/>
    <item val="Semaine 6"/>
    <item val="Semaine 7"/>
    <item val="Semaine 8"/>
    <item val="Semaine 9"/>
    <item val="Semaine 10"/>
    <item val="Semaine 11"/>
    <item val="Semaine 12"/>
    <item val="Semaine 13"/>
    <item val="Semaine 14"/>
    <item val="Semaine 15"/>
    <item val="Semaine 16"/>
    <item val="Semaine 17"/>
    <item val="Semaine 18"/>
    <item val="Semaine 19"/>
    <item val="Semaine 20"/>
    <item val="Semaine 21"/>
    <item val="Semaine 22"/>
    <item val="Semaine 23"/>
    <item val="Semaine 24"/>
    <item val="Semaine 25"/>
    <item val="Semaine 26"/>
    <item val="Semaine 27"/>
    <item val="Semaine 28"/>
    <item val="Semaine 29"/>
    <item val="Semaine 30"/>
    <item val="Semaine 31"/>
    <item val="Semaine 32"/>
    <item val="Semaine 33"/>
    <item val="Semaine 34"/>
    <item val="Semaine 35"/>
    <item val="Semaine 36"/>
    <item val="Semaine 37"/>
    <item val="Semaine 38"/>
    <item val="Semaine 39"/>
    <item val="Semaine 40"/>
    <item val="Semaine 41"/>
    <item val="Semaine 42"/>
    <item val="Semaine 43"/>
    <item val="Semaine 44"/>
    <item val="Semaine 45"/>
    <item val="Semaine 46"/>
    <item val="Semaine 47"/>
    <item val="Semaine 48"/>
    <item val="Semaine 49"/>
    <item val="Semaine 50"/>
    <item val="Semaine 51"/>
    <item val="Semaine 52"/>
  </itemLst>
</formControlPr>
</file>

<file path=xl/ctrlProps/ctrlProp5.xml><?xml version="1.0" encoding="utf-8"?>
<formControlPr xmlns="http://schemas.microsoft.com/office/spreadsheetml/2009/9/main" objectType="Drop" dropStyle="combo" dx="31" fmlaLink="ACCUEIL!$P$4" noThreeD="1" sel="14" val="13">
  <itemLst>
    <item val="Semaine 1"/>
    <item val="Semaine 2"/>
    <item val="Semaine 3"/>
    <item val="Semaine 4"/>
    <item val="Semaine 5"/>
    <item val="Semaine 6"/>
    <item val="Semaine 7"/>
    <item val="Semaine 8"/>
    <item val="Semaine 9"/>
    <item val="Semaine 10"/>
    <item val="Semaine 11"/>
    <item val="Semaine 12"/>
    <item val="Semaine 13"/>
    <item val="Semaine 14"/>
    <item val="Semaine 15"/>
    <item val="Semaine 16"/>
    <item val="Semaine 17"/>
    <item val="Semaine 18"/>
    <item val="Semaine 19"/>
    <item val="Semaine 20"/>
    <item val="Semaine 21"/>
    <item val="Semaine 22"/>
    <item val="Semaine 23"/>
    <item val="Semaine 24"/>
    <item val="Semaine 25"/>
    <item val="Semaine 26"/>
    <item val="Semaine 27"/>
    <item val="Semaine 28"/>
    <item val="Semaine 29"/>
    <item val="Semaine 30"/>
    <item val="Semaine 31"/>
    <item val="Semaine 32"/>
    <item val="Semaine 33"/>
    <item val="Semaine 34"/>
    <item val="Semaine 35"/>
    <item val="Semaine 36"/>
    <item val="Semaine 37"/>
    <item val="Semaine 38"/>
    <item val="Semaine 39"/>
    <item val="Semaine 40"/>
    <item val="Semaine 41"/>
    <item val="Semaine 42"/>
    <item val="Semaine 43"/>
    <item val="Semaine 44"/>
    <item val="Semaine 45"/>
    <item val="Semaine 46"/>
    <item val="Semaine 47"/>
    <item val="Semaine 48"/>
    <item val="Semaine 49"/>
    <item val="Semaine 50"/>
    <item val="Semaine 51"/>
    <item val="Semaine 52"/>
  </itemLst>
</formControlPr>
</file>

<file path=xl/ctrlProps/ctrlProp6.xml><?xml version="1.0" encoding="utf-8"?>
<formControlPr xmlns="http://schemas.microsoft.com/office/spreadsheetml/2009/9/main" objectType="Drop" dropStyle="combo" dx="31" fmlaLink="ACCUEIL!$P$5" noThreeD="1" sel="15" val="11">
  <itemLst>
    <item val="Semaine 1"/>
    <item val="Semaine 2"/>
    <item val="Semaine 3"/>
    <item val="Semaine 4"/>
    <item val="Semaine 5"/>
    <item val="Semaine 6"/>
    <item val="Semaine 7"/>
    <item val="Semaine 8"/>
    <item val="Semaine 9"/>
    <item val="Semaine 10"/>
    <item val="Semaine 11"/>
    <item val="Semaine 12"/>
    <item val="Semaine 13"/>
    <item val="Semaine 14"/>
    <item val="Semaine 15"/>
    <item val="Semaine 16"/>
    <item val="Semaine 17"/>
    <item val="Semaine 18"/>
    <item val="Semaine 19"/>
    <item val="Semaine 20"/>
    <item val="Semaine 21"/>
    <item val="Semaine 22"/>
    <item val="Semaine 23"/>
    <item val="Semaine 24"/>
    <item val="Semaine 25"/>
    <item val="Semaine 26"/>
    <item val="Semaine 27"/>
    <item val="Semaine 28"/>
    <item val="Semaine 29"/>
    <item val="Semaine 30"/>
    <item val="Semaine 31"/>
    <item val="Semaine 32"/>
    <item val="Semaine 33"/>
    <item val="Semaine 34"/>
    <item val="Semaine 35"/>
    <item val="Semaine 36"/>
    <item val="Semaine 37"/>
    <item val="Semaine 38"/>
    <item val="Semaine 39"/>
    <item val="Semaine 40"/>
    <item val="Semaine 41"/>
    <item val="Semaine 42"/>
    <item val="Semaine 43"/>
    <item val="Semaine 44"/>
    <item val="Semaine 45"/>
    <item val="Semaine 46"/>
    <item val="Semaine 47"/>
    <item val="Semaine 48"/>
    <item val="Semaine 49"/>
    <item val="Semaine 50"/>
    <item val="Semaine 51"/>
    <item val="Semaine 52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11</xdr:row>
          <xdr:rowOff>38100</xdr:rowOff>
        </xdr:from>
        <xdr:to>
          <xdr:col>8</xdr:col>
          <xdr:colOff>698500</xdr:colOff>
          <xdr:row>11</xdr:row>
          <xdr:rowOff>368300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SE CONNECTER  /  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38100</xdr:rowOff>
        </xdr:from>
        <xdr:to>
          <xdr:col>5</xdr:col>
          <xdr:colOff>914400</xdr:colOff>
          <xdr:row>8</xdr:row>
          <xdr:rowOff>292100</xdr:rowOff>
        </xdr:to>
        <xdr:sp macro="" textlink="">
          <xdr:nvSpPr>
            <xdr:cNvPr id="1090" name="Drop Dow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38100</xdr:rowOff>
        </xdr:from>
        <xdr:to>
          <xdr:col>5</xdr:col>
          <xdr:colOff>914400</xdr:colOff>
          <xdr:row>10</xdr:row>
          <xdr:rowOff>292100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38100</xdr:rowOff>
        </xdr:from>
        <xdr:to>
          <xdr:col>5</xdr:col>
          <xdr:colOff>914400</xdr:colOff>
          <xdr:row>12</xdr:row>
          <xdr:rowOff>292100</xdr:rowOff>
        </xdr:to>
        <xdr:sp macro="" textlink="">
          <xdr:nvSpPr>
            <xdr:cNvPr id="1092" name="Drop Dow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38100</xdr:rowOff>
        </xdr:from>
        <xdr:to>
          <xdr:col>5</xdr:col>
          <xdr:colOff>914400</xdr:colOff>
          <xdr:row>14</xdr:row>
          <xdr:rowOff>292100</xdr:rowOff>
        </xdr:to>
        <xdr:sp macro="" textlink="">
          <xdr:nvSpPr>
            <xdr:cNvPr id="1093" name="Drop Dow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38100</xdr:rowOff>
        </xdr:from>
        <xdr:to>
          <xdr:col>5</xdr:col>
          <xdr:colOff>914400</xdr:colOff>
          <xdr:row>16</xdr:row>
          <xdr:rowOff>292100</xdr:rowOff>
        </xdr:to>
        <xdr:sp macro="" textlink="">
          <xdr:nvSpPr>
            <xdr:cNvPr id="1094" name="Drop Dow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19</xdr:row>
          <xdr:rowOff>25400</xdr:rowOff>
        </xdr:from>
        <xdr:to>
          <xdr:col>3</xdr:col>
          <xdr:colOff>571500</xdr:colOff>
          <xdr:row>19</xdr:row>
          <xdr:rowOff>279400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TDB GROUPE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20</xdr:row>
          <xdr:rowOff>25400</xdr:rowOff>
        </xdr:from>
        <xdr:to>
          <xdr:col>3</xdr:col>
          <xdr:colOff>571500</xdr:colOff>
          <xdr:row>20</xdr:row>
          <xdr:rowOff>279400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TDB FILIALE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21</xdr:row>
          <xdr:rowOff>25400</xdr:rowOff>
        </xdr:from>
        <xdr:to>
          <xdr:col>3</xdr:col>
          <xdr:colOff>571500</xdr:colOff>
          <xdr:row>21</xdr:row>
          <xdr:rowOff>279400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RECAP GOUVERNANCE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22</xdr:row>
          <xdr:rowOff>25400</xdr:rowOff>
        </xdr:from>
        <xdr:to>
          <xdr:col>3</xdr:col>
          <xdr:colOff>571500</xdr:colOff>
          <xdr:row>22</xdr:row>
          <xdr:rowOff>279400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RECAP AML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23</xdr:row>
          <xdr:rowOff>25400</xdr:rowOff>
        </xdr:from>
        <xdr:to>
          <xdr:col>3</xdr:col>
          <xdr:colOff>571500</xdr:colOff>
          <xdr:row>23</xdr:row>
          <xdr:rowOff>279400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RECAP SANCTIONS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24</xdr:row>
          <xdr:rowOff>25400</xdr:rowOff>
        </xdr:from>
        <xdr:to>
          <xdr:col>3</xdr:col>
          <xdr:colOff>571500</xdr:colOff>
          <xdr:row>24</xdr:row>
          <xdr:rowOff>279400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INDICATEURS HIST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25</xdr:row>
          <xdr:rowOff>25400</xdr:rowOff>
        </xdr:from>
        <xdr:to>
          <xdr:col>3</xdr:col>
          <xdr:colOff>571500</xdr:colOff>
          <xdr:row>25</xdr:row>
          <xdr:rowOff>279400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METRIQUES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26</xdr:row>
          <xdr:rowOff>25400</xdr:rowOff>
        </xdr:from>
        <xdr:to>
          <xdr:col>3</xdr:col>
          <xdr:colOff>571500</xdr:colOff>
          <xdr:row>26</xdr:row>
          <xdr:rowOff>279400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BASE GRAPHIQUES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27</xdr:row>
          <xdr:rowOff>25400</xdr:rowOff>
        </xdr:from>
        <xdr:to>
          <xdr:col>3</xdr:col>
          <xdr:colOff>571500</xdr:colOff>
          <xdr:row>27</xdr:row>
          <xdr:rowOff>279400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LEXIQUE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28</xdr:row>
          <xdr:rowOff>25400</xdr:rowOff>
        </xdr:from>
        <xdr:to>
          <xdr:col>3</xdr:col>
          <xdr:colOff>571500</xdr:colOff>
          <xdr:row>28</xdr:row>
          <xdr:rowOff>279400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TOUTES LES FEUILLES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571500</xdr:colOff>
          <xdr:row>29</xdr:row>
          <xdr:rowOff>279400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25400</xdr:rowOff>
        </xdr:from>
        <xdr:to>
          <xdr:col>5</xdr:col>
          <xdr:colOff>914400</xdr:colOff>
          <xdr:row>8</xdr:row>
          <xdr:rowOff>38100</xdr:rowOff>
        </xdr:to>
        <xdr:sp macro="" textlink="">
          <xdr:nvSpPr>
            <xdr:cNvPr id="1115" name="Btn_Connexion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ptos Narrow"/>
                </a:rPr>
                <a:t>SE CONNECTER / 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25400</xdr:rowOff>
        </xdr:from>
        <xdr:to>
          <xdr:col>1</xdr:col>
          <xdr:colOff>323850</xdr:colOff>
          <xdr:row>38</xdr:row>
          <xdr:rowOff>120650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25400</xdr:rowOff>
        </xdr:from>
        <xdr:to>
          <xdr:col>1</xdr:col>
          <xdr:colOff>114300</xdr:colOff>
          <xdr:row>39</xdr:row>
          <xdr:rowOff>120650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0</xdr:col>
          <xdr:colOff>1905000</xdr:colOff>
          <xdr:row>15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0</xdr:col>
          <xdr:colOff>1905000</xdr:colOff>
          <xdr:row>15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0</xdr:col>
          <xdr:colOff>1905000</xdr:colOff>
          <xdr:row>15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0</xdr:col>
          <xdr:colOff>1905000</xdr:colOff>
          <xdr:row>24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25400</xdr:rowOff>
        </xdr:from>
        <xdr:to>
          <xdr:col>0</xdr:col>
          <xdr:colOff>1905000</xdr:colOff>
          <xdr:row>16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58</xdr:row>
          <xdr:rowOff>107950</xdr:rowOff>
        </xdr:to>
        <xdr:sp macro="" textlink="">
          <xdr:nvSpPr>
            <xdr:cNvPr id="7191" name="Btn_Logout_H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2AA50136-2C80-8572-2783-2FF8112BD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DECONNEXION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58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127000</xdr:colOff>
          <xdr:row>58</xdr:row>
          <xdr:rowOff>95250</xdr:rowOff>
        </xdr:to>
        <xdr:sp macro="" textlink="">
          <xdr:nvSpPr>
            <xdr:cNvPr id="8194" name="Btn_Charge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ptos Narrow"/>
                </a:rPr>
                <a:t>CHARGER DONNEES FILIALE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1009650</xdr:colOff>
          <xdr:row>58</xdr:row>
          <xdr:rowOff>95250</xdr:rowOff>
        </xdr:to>
        <xdr:sp macro="" textlink="">
          <xdr:nvSpPr>
            <xdr:cNvPr id="8195" name="Btn_Sauver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ptos Narrow"/>
                </a:rPr>
                <a:t>SAUVEGARDER DONNEES FILIALE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57</xdr:row>
          <xdr:rowOff>0</xdr:rowOff>
        </xdr:from>
        <xdr:to>
          <xdr:col>8</xdr:col>
          <xdr:colOff>882650</xdr:colOff>
          <xdr:row>58</xdr:row>
          <xdr:rowOff>95250</xdr:rowOff>
        </xdr:to>
        <xdr:sp macro="" textlink="">
          <xdr:nvSpPr>
            <xdr:cNvPr id="8196" name="Btn_Retour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127000</xdr:colOff>
          <xdr:row>58</xdr:row>
          <xdr:rowOff>95250</xdr:rowOff>
        </xdr:to>
        <xdr:sp macro="" textlink="">
          <xdr:nvSpPr>
            <xdr:cNvPr id="8212" name="Btn_Save_EN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8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1009650</xdr:colOff>
          <xdr:row>58</xdr:row>
          <xdr:rowOff>95250</xdr:rowOff>
        </xdr:to>
        <xdr:sp macro="" textlink="">
          <xdr:nvSpPr>
            <xdr:cNvPr id="8213" name="Btn_Load_EN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8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127000</xdr:colOff>
          <xdr:row>58</xdr:row>
          <xdr:rowOff>95250</xdr:rowOff>
        </xdr:to>
        <xdr:sp macro="" textlink="">
          <xdr:nvSpPr>
            <xdr:cNvPr id="8215" name="Btn_Save_FR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8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1009650</xdr:colOff>
          <xdr:row>58</xdr:row>
          <xdr:rowOff>95250</xdr:rowOff>
        </xdr:to>
        <xdr:sp macro="" textlink="">
          <xdr:nvSpPr>
            <xdr:cNvPr id="8216" name="Btn_Load_FR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8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CHARGER DONNEES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57</xdr:row>
          <xdr:rowOff>0</xdr:rowOff>
        </xdr:from>
        <xdr:to>
          <xdr:col>8</xdr:col>
          <xdr:colOff>882650</xdr:colOff>
          <xdr:row>58</xdr:row>
          <xdr:rowOff>95250</xdr:rowOff>
        </xdr:to>
        <xdr:sp macro="" textlink="">
          <xdr:nvSpPr>
            <xdr:cNvPr id="8217" name="Btn_Logout_M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8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DECONNEXION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3</xdr:row>
          <xdr:rowOff>50800</xdr:rowOff>
        </xdr:from>
        <xdr:to>
          <xdr:col>5</xdr:col>
          <xdr:colOff>69850</xdr:colOff>
          <xdr:row>3</xdr:row>
          <xdr:rowOff>381000</xdr:rowOff>
        </xdr:to>
        <xdr:sp macro="" textlink="">
          <xdr:nvSpPr>
            <xdr:cNvPr id="13318" name="Btn_Gouvernance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9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ptos Narrow"/>
                </a:rPr>
                <a:t>GOUVERNANCE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50800</xdr:rowOff>
        </xdr:from>
        <xdr:to>
          <xdr:col>9</xdr:col>
          <xdr:colOff>69850</xdr:colOff>
          <xdr:row>3</xdr:row>
          <xdr:rowOff>381000</xdr:rowOff>
        </xdr:to>
        <xdr:sp macro="" textlink="">
          <xdr:nvSpPr>
            <xdr:cNvPr id="13319" name="Btn_AML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9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ptos Narrow"/>
                </a:rPr>
                <a:t>AML / KYC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</xdr:row>
          <xdr:rowOff>50800</xdr:rowOff>
        </xdr:from>
        <xdr:to>
          <xdr:col>13</xdr:col>
          <xdr:colOff>57150</xdr:colOff>
          <xdr:row>3</xdr:row>
          <xdr:rowOff>381000</xdr:rowOff>
        </xdr:to>
        <xdr:sp macro="" textlink="">
          <xdr:nvSpPr>
            <xdr:cNvPr id="13320" name="Btn_Sanctions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9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ptos Narrow"/>
                </a:rPr>
                <a:t>SANCTIONS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3</xdr:row>
          <xdr:rowOff>50800</xdr:rowOff>
        </xdr:from>
        <xdr:to>
          <xdr:col>16</xdr:col>
          <xdr:colOff>57150</xdr:colOff>
          <xdr:row>3</xdr:row>
          <xdr:rowOff>381000</xdr:rowOff>
        </xdr:to>
        <xdr:sp macro="" textlink="">
          <xdr:nvSpPr>
            <xdr:cNvPr id="13321" name="Btn_Retour_GR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9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66675</xdr:colOff>
      <xdr:row>6</xdr:row>
      <xdr:rowOff>69850</xdr:rowOff>
    </xdr:from>
    <xdr:to>
      <xdr:col>9</xdr:col>
      <xdr:colOff>92075</xdr:colOff>
      <xdr:row>21</xdr:row>
      <xdr:rowOff>142875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24301E28-EA30-8375-691A-CF8DE53E3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215900</xdr:colOff>
      <xdr:row>6</xdr:row>
      <xdr:rowOff>69850</xdr:rowOff>
    </xdr:from>
    <xdr:to>
      <xdr:col>17</xdr:col>
      <xdr:colOff>123825</xdr:colOff>
      <xdr:row>21</xdr:row>
      <xdr:rowOff>142875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606DDE6C-EA0E-015F-61B1-AF305F351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22</xdr:row>
      <xdr:rowOff>158750</xdr:rowOff>
    </xdr:from>
    <xdr:to>
      <xdr:col>9</xdr:col>
      <xdr:colOff>92075</xdr:colOff>
      <xdr:row>38</xdr:row>
      <xdr:rowOff>50800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8DB697E3-ACCB-A371-B594-8C83F689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215900</xdr:colOff>
      <xdr:row>22</xdr:row>
      <xdr:rowOff>158750</xdr:rowOff>
    </xdr:from>
    <xdr:to>
      <xdr:col>17</xdr:col>
      <xdr:colOff>123825</xdr:colOff>
      <xdr:row>38</xdr:row>
      <xdr:rowOff>50800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9C079E75-07D5-3E09-F68A-FEB10F3EC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66675</xdr:colOff>
      <xdr:row>39</xdr:row>
      <xdr:rowOff>66675</xdr:rowOff>
    </xdr:from>
    <xdr:to>
      <xdr:col>9</xdr:col>
      <xdr:colOff>92075</xdr:colOff>
      <xdr:row>54</xdr:row>
      <xdr:rowOff>139700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86C0F203-F061-A072-E2B5-ADA3A4112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215900</xdr:colOff>
      <xdr:row>39</xdr:row>
      <xdr:rowOff>66675</xdr:rowOff>
    </xdr:from>
    <xdr:to>
      <xdr:col>17</xdr:col>
      <xdr:colOff>123825</xdr:colOff>
      <xdr:row>54</xdr:row>
      <xdr:rowOff>139700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2F09620A-3008-C4EF-516C-01F0088C7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25400</xdr:rowOff>
        </xdr:from>
        <xdr:to>
          <xdr:col>1</xdr:col>
          <xdr:colOff>1022350</xdr:colOff>
          <xdr:row>35</xdr:row>
          <xdr:rowOff>120650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A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Aptos Narrow"/>
                </a:rPr>
                <a:t>DECONNEXION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35874E8-9C45-41C8-8478-B910A44B1510}">
  <we:reference id="wa200009404" version="1.0.0.8" store="fr-FR" storeType="OMEX"/>
  <we:alternateReferences>
    <we:reference id="WA200009404" version="1.0.0.8" store="WA200009404" storeType="OMEX"/>
  </we:alternateReferences>
  <we:properties>
    <we:property name="claude.fileId" value="&quot;d8c169e1-18b9-421e-a2d5-fe9848f523c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1D39-17A7-4C28-9503-053B879828D0}">
  <sheetPr codeName="Feuil29"/>
  <dimension ref="A1:M18"/>
  <sheetViews>
    <sheetView showGridLines="0" tabSelected="1" workbookViewId="0">
      <selection activeCell="E10" sqref="E10:I10"/>
    </sheetView>
  </sheetViews>
  <sheetFormatPr baseColWidth="10" defaultRowHeight="14.5" x14ac:dyDescent="0.35"/>
  <cols>
    <col min="1" max="2" width="3.6328125" style="191" customWidth="1"/>
    <col min="3" max="4" width="8.6328125" style="191" customWidth="1"/>
    <col min="5" max="9" width="10.6328125" style="191" customWidth="1"/>
    <col min="10" max="11" width="8.6328125" style="191" customWidth="1"/>
    <col min="12" max="13" width="3.6328125" style="191" customWidth="1"/>
    <col min="14" max="16384" width="10.90625" style="191"/>
  </cols>
  <sheetData>
    <row r="1" spans="1:13" ht="8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3" spans="1:13" ht="55" customHeight="1" x14ac:dyDescent="0.35">
      <c r="C3" s="204" t="s">
        <v>274</v>
      </c>
      <c r="D3" s="203"/>
      <c r="E3" s="203"/>
      <c r="F3" s="203"/>
      <c r="G3" s="203"/>
      <c r="H3" s="203"/>
      <c r="I3" s="203"/>
      <c r="J3" s="203"/>
      <c r="K3" s="203"/>
    </row>
    <row r="4" spans="1:13" ht="28" customHeight="1" x14ac:dyDescent="0.35">
      <c r="C4" s="205" t="s">
        <v>276</v>
      </c>
      <c r="D4" s="203"/>
      <c r="E4" s="203"/>
      <c r="F4" s="203"/>
      <c r="G4" s="203"/>
      <c r="H4" s="203"/>
      <c r="I4" s="203"/>
      <c r="J4" s="203"/>
      <c r="K4" s="203"/>
    </row>
    <row r="5" spans="1:13" ht="4" customHeight="1" x14ac:dyDescent="0.35">
      <c r="C5" s="1"/>
      <c r="D5" s="1"/>
      <c r="E5" s="1"/>
      <c r="F5" s="1"/>
      <c r="G5" s="1"/>
      <c r="H5" s="1"/>
      <c r="I5" s="1"/>
      <c r="J5" s="1"/>
      <c r="K5" s="1"/>
    </row>
    <row r="6" spans="1:13" ht="25" customHeight="1" x14ac:dyDescent="0.35"/>
    <row r="7" spans="1:13" ht="25" customHeight="1" thickBot="1" x14ac:dyDescent="0.4"/>
    <row r="8" spans="1:13" ht="15" thickBot="1" x14ac:dyDescent="0.4">
      <c r="C8" s="192"/>
      <c r="D8" s="192"/>
      <c r="E8" s="192"/>
      <c r="F8" s="192"/>
      <c r="G8" s="192"/>
      <c r="H8" s="192"/>
      <c r="I8" s="192"/>
      <c r="J8" s="192"/>
      <c r="K8" s="192"/>
    </row>
    <row r="9" spans="1:13" ht="28" customHeight="1" thickBot="1" x14ac:dyDescent="0.4">
      <c r="C9" s="192"/>
      <c r="D9" s="206" t="s">
        <v>277</v>
      </c>
      <c r="E9" s="207"/>
      <c r="F9" s="207"/>
      <c r="G9" s="207"/>
      <c r="H9" s="207"/>
      <c r="I9" s="207"/>
      <c r="J9" s="208"/>
      <c r="K9" s="192"/>
    </row>
    <row r="10" spans="1:13" ht="38" customHeight="1" thickBot="1" x14ac:dyDescent="0.4">
      <c r="C10" s="192"/>
      <c r="D10" s="192"/>
      <c r="E10" s="209" t="s">
        <v>275</v>
      </c>
      <c r="F10" s="210"/>
      <c r="G10" s="210"/>
      <c r="H10" s="210"/>
      <c r="I10" s="210"/>
      <c r="J10" s="192"/>
      <c r="K10" s="192"/>
    </row>
    <row r="11" spans="1:13" ht="12" customHeight="1" thickBot="1" x14ac:dyDescent="0.4">
      <c r="C11" s="192"/>
      <c r="D11" s="192"/>
      <c r="E11" s="192"/>
      <c r="F11" s="192"/>
      <c r="G11" s="192"/>
      <c r="H11" s="192"/>
      <c r="I11" s="192"/>
      <c r="J11" s="192"/>
      <c r="K11" s="192"/>
    </row>
    <row r="12" spans="1:13" ht="34" customHeight="1" thickBot="1" x14ac:dyDescent="0.4">
      <c r="C12" s="192"/>
      <c r="D12" s="192"/>
      <c r="E12" s="192"/>
      <c r="F12" s="192"/>
      <c r="G12" s="192"/>
      <c r="H12" s="192"/>
      <c r="I12" s="192"/>
      <c r="J12" s="192"/>
      <c r="K12" s="192"/>
    </row>
    <row r="13" spans="1:13" ht="22" customHeight="1" thickBot="1" x14ac:dyDescent="0.4">
      <c r="C13" s="192"/>
      <c r="D13" s="211"/>
      <c r="E13" s="207"/>
      <c r="F13" s="207"/>
      <c r="G13" s="207"/>
      <c r="H13" s="207"/>
      <c r="I13" s="207"/>
      <c r="J13" s="208"/>
      <c r="K13" s="192"/>
    </row>
    <row r="14" spans="1:13" ht="8" customHeight="1" thickBot="1" x14ac:dyDescent="0.4">
      <c r="C14" s="192"/>
      <c r="D14" s="192"/>
      <c r="E14" s="192"/>
      <c r="F14" s="192"/>
      <c r="G14" s="192"/>
      <c r="H14" s="192"/>
      <c r="I14" s="192"/>
      <c r="J14" s="192"/>
      <c r="K14" s="192"/>
    </row>
    <row r="15" spans="1:13" ht="15" thickBot="1" x14ac:dyDescent="0.4">
      <c r="C15" s="192"/>
      <c r="D15" s="192"/>
      <c r="E15" s="192"/>
      <c r="F15" s="192"/>
      <c r="G15" s="192"/>
      <c r="H15" s="192"/>
      <c r="I15" s="192"/>
      <c r="J15" s="192"/>
      <c r="K15" s="192"/>
    </row>
    <row r="16" spans="1:13" ht="20" customHeight="1" x14ac:dyDescent="0.35"/>
    <row r="17" spans="1:13" ht="22" customHeight="1" x14ac:dyDescent="0.35">
      <c r="C17" s="202" t="s">
        <v>278</v>
      </c>
      <c r="D17" s="203"/>
      <c r="E17" s="203"/>
      <c r="F17" s="203"/>
      <c r="G17" s="203"/>
      <c r="H17" s="203"/>
      <c r="I17" s="203"/>
      <c r="J17" s="203"/>
      <c r="K17" s="203"/>
    </row>
    <row r="18" spans="1:13" ht="8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</sheetData>
  <mergeCells count="6">
    <mergeCell ref="C17:K17"/>
    <mergeCell ref="C3:K3"/>
    <mergeCell ref="C4:K4"/>
    <mergeCell ref="D9:J9"/>
    <mergeCell ref="E10:I10"/>
    <mergeCell ref="D13:J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CONNEXION_LOGIN">
                <anchor moveWithCells="1" sizeWithCells="1">
                  <from>
                    <xdr:col>4</xdr:col>
                    <xdr:colOff>63500</xdr:colOff>
                    <xdr:row>11</xdr:row>
                    <xdr:rowOff>38100</xdr:rowOff>
                  </from>
                  <to>
                    <xdr:col>8</xdr:col>
                    <xdr:colOff>698500</xdr:colOff>
                    <xdr:row>11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F4DB6-EDAB-4758-BE6C-0B3784C3A8CB}">
  <sheetPr codeName="Feuil1"/>
  <dimension ref="A1:Q52"/>
  <sheetViews>
    <sheetView showGridLines="0" topLeftCell="A10" workbookViewId="0">
      <selection sqref="A1:N5"/>
    </sheetView>
  </sheetViews>
  <sheetFormatPr baseColWidth="10" defaultRowHeight="14.5" x14ac:dyDescent="0.35"/>
  <cols>
    <col min="1" max="1" width="2.6328125" style="1" customWidth="1"/>
    <col min="2" max="2" width="18.6328125" style="1" customWidth="1"/>
    <col min="3" max="3" width="2.6328125" style="1" customWidth="1"/>
    <col min="4" max="4" width="20.6328125" style="1" customWidth="1"/>
    <col min="5" max="5" width="2.6328125" style="1" customWidth="1"/>
    <col min="6" max="6" width="30.6328125" style="1" customWidth="1"/>
    <col min="7" max="13" width="5.6328125" style="1" customWidth="1"/>
    <col min="14" max="14" width="2.6328125" style="1" customWidth="1"/>
    <col min="15" max="16" width="10.90625" style="1"/>
    <col min="17" max="17" width="10.1796875" style="1" hidden="1" customWidth="1"/>
    <col min="18" max="16384" width="10.90625" style="1"/>
  </cols>
  <sheetData>
    <row r="1" spans="1:17" ht="20" customHeight="1" x14ac:dyDescent="0.35">
      <c r="A1" s="212" t="s">
        <v>52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P1" s="179">
        <v>3</v>
      </c>
      <c r="Q1" s="1" t="s">
        <v>0</v>
      </c>
    </row>
    <row r="2" spans="1:17" ht="20" customHeight="1" x14ac:dyDescent="0.35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P2" s="1">
        <v>12</v>
      </c>
      <c r="Q2" s="1" t="s">
        <v>1</v>
      </c>
    </row>
    <row r="3" spans="1:17" ht="20" customHeight="1" x14ac:dyDescent="0.35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P3" s="1">
        <v>13</v>
      </c>
      <c r="Q3" s="1" t="s">
        <v>2</v>
      </c>
    </row>
    <row r="4" spans="1:17" ht="20" customHeight="1" x14ac:dyDescent="0.35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P4" s="1">
        <v>14</v>
      </c>
      <c r="Q4" s="1" t="s">
        <v>3</v>
      </c>
    </row>
    <row r="5" spans="1:17" ht="20" customHeight="1" x14ac:dyDescent="0.35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P5" s="1">
        <v>15</v>
      </c>
      <c r="Q5" s="1" t="s">
        <v>4</v>
      </c>
    </row>
    <row r="6" spans="1:17" ht="22" customHeight="1" x14ac:dyDescent="0.35">
      <c r="A6" s="214" t="s">
        <v>54</v>
      </c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P6" s="1" t="s">
        <v>197</v>
      </c>
      <c r="Q6" s="1" t="s">
        <v>5</v>
      </c>
    </row>
    <row r="7" spans="1:17" ht="3" customHeight="1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Q7" s="1" t="s">
        <v>6</v>
      </c>
    </row>
    <row r="8" spans="1:17" ht="18" customHeight="1" x14ac:dyDescent="0.35">
      <c r="Q8" s="1" t="s">
        <v>7</v>
      </c>
    </row>
    <row r="9" spans="1:17" ht="26" customHeight="1" x14ac:dyDescent="0.35">
      <c r="B9" s="3" t="s">
        <v>53</v>
      </c>
      <c r="Q9" s="1" t="s">
        <v>8</v>
      </c>
    </row>
    <row r="10" spans="1:17" x14ac:dyDescent="0.35">
      <c r="Q10" s="1" t="s">
        <v>9</v>
      </c>
    </row>
    <row r="11" spans="1:17" ht="26" customHeight="1" x14ac:dyDescent="0.35">
      <c r="B11" s="4" t="s">
        <v>55</v>
      </c>
      <c r="Q11" s="1" t="s">
        <v>10</v>
      </c>
    </row>
    <row r="12" spans="1:17" x14ac:dyDescent="0.35">
      <c r="Q12" s="1" t="s">
        <v>11</v>
      </c>
    </row>
    <row r="13" spans="1:17" ht="26" customHeight="1" x14ac:dyDescent="0.35">
      <c r="B13" s="4" t="s">
        <v>56</v>
      </c>
      <c r="Q13" s="1" t="s">
        <v>12</v>
      </c>
    </row>
    <row r="14" spans="1:17" x14ac:dyDescent="0.35">
      <c r="Q14" s="1" t="s">
        <v>13</v>
      </c>
    </row>
    <row r="15" spans="1:17" ht="26" customHeight="1" x14ac:dyDescent="0.35">
      <c r="B15" s="4" t="s">
        <v>57</v>
      </c>
      <c r="Q15" s="1" t="s">
        <v>14</v>
      </c>
    </row>
    <row r="16" spans="1:17" x14ac:dyDescent="0.35">
      <c r="Q16" s="1" t="s">
        <v>15</v>
      </c>
    </row>
    <row r="17" spans="1:17" ht="26" customHeight="1" x14ac:dyDescent="0.35">
      <c r="B17" s="4" t="s">
        <v>58</v>
      </c>
      <c r="Q17" s="1" t="s">
        <v>16</v>
      </c>
    </row>
    <row r="18" spans="1:17" ht="28" customHeight="1" x14ac:dyDescent="0.35">
      <c r="Q18" s="1" t="s">
        <v>17</v>
      </c>
    </row>
    <row r="19" spans="1:17" ht="3" customHeight="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Q19" s="1" t="s">
        <v>18</v>
      </c>
    </row>
    <row r="20" spans="1:17" ht="26" customHeight="1" x14ac:dyDescent="0.35">
      <c r="F20" s="5" t="s">
        <v>59</v>
      </c>
      <c r="Q20" s="1" t="s">
        <v>19</v>
      </c>
    </row>
    <row r="21" spans="1:17" ht="26" customHeight="1" x14ac:dyDescent="0.35">
      <c r="A21" s="6"/>
      <c r="B21" s="6"/>
      <c r="C21" s="6"/>
      <c r="D21" s="6"/>
      <c r="E21" s="6"/>
      <c r="F21" s="7" t="s">
        <v>60</v>
      </c>
      <c r="G21" s="6"/>
      <c r="H21" s="6"/>
      <c r="I21" s="6"/>
      <c r="J21" s="6"/>
      <c r="K21" s="6"/>
      <c r="L21" s="6"/>
      <c r="M21" s="6"/>
      <c r="N21" s="6"/>
      <c r="Q21" s="1" t="s">
        <v>20</v>
      </c>
    </row>
    <row r="22" spans="1:17" ht="26" customHeight="1" x14ac:dyDescent="0.35">
      <c r="F22" s="5" t="s">
        <v>61</v>
      </c>
      <c r="Q22" s="1" t="s">
        <v>21</v>
      </c>
    </row>
    <row r="23" spans="1:17" ht="26" customHeight="1" x14ac:dyDescent="0.35">
      <c r="A23" s="6"/>
      <c r="B23" s="6"/>
      <c r="C23" s="6"/>
      <c r="D23" s="6"/>
      <c r="E23" s="6"/>
      <c r="F23" s="7" t="s">
        <v>62</v>
      </c>
      <c r="G23" s="6"/>
      <c r="H23" s="6"/>
      <c r="I23" s="6"/>
      <c r="J23" s="6"/>
      <c r="K23" s="6"/>
      <c r="L23" s="6"/>
      <c r="M23" s="6"/>
      <c r="N23" s="6"/>
      <c r="Q23" s="1" t="s">
        <v>22</v>
      </c>
    </row>
    <row r="24" spans="1:17" ht="26" customHeight="1" x14ac:dyDescent="0.35">
      <c r="F24" s="5" t="s">
        <v>63</v>
      </c>
      <c r="Q24" s="1" t="s">
        <v>23</v>
      </c>
    </row>
    <row r="25" spans="1:17" ht="26" customHeight="1" x14ac:dyDescent="0.35">
      <c r="A25" s="6"/>
      <c r="B25" s="6"/>
      <c r="C25" s="6"/>
      <c r="D25" s="6"/>
      <c r="E25" s="6"/>
      <c r="F25" s="7" t="s">
        <v>64</v>
      </c>
      <c r="G25" s="6"/>
      <c r="H25" s="6"/>
      <c r="I25" s="6"/>
      <c r="J25" s="6"/>
      <c r="K25" s="6"/>
      <c r="L25" s="6"/>
      <c r="M25" s="6"/>
      <c r="N25" s="6"/>
      <c r="Q25" s="1" t="s">
        <v>24</v>
      </c>
    </row>
    <row r="26" spans="1:17" ht="26" customHeight="1" x14ac:dyDescent="0.35">
      <c r="F26" s="5" t="s">
        <v>65</v>
      </c>
      <c r="Q26" s="1" t="s">
        <v>25</v>
      </c>
    </row>
    <row r="27" spans="1:17" ht="26" customHeight="1" x14ac:dyDescent="0.35">
      <c r="A27" s="6"/>
      <c r="B27" s="6"/>
      <c r="C27" s="6"/>
      <c r="D27" s="6"/>
      <c r="E27" s="6"/>
      <c r="F27" s="7" t="s">
        <v>66</v>
      </c>
      <c r="G27" s="6"/>
      <c r="H27" s="6"/>
      <c r="I27" s="6"/>
      <c r="J27" s="6"/>
      <c r="K27" s="6"/>
      <c r="L27" s="6"/>
      <c r="M27" s="6"/>
      <c r="N27" s="6"/>
      <c r="Q27" s="1" t="s">
        <v>26</v>
      </c>
    </row>
    <row r="28" spans="1:17" ht="26" customHeight="1" x14ac:dyDescent="0.35">
      <c r="F28" s="5" t="s">
        <v>67</v>
      </c>
      <c r="Q28" s="1" t="s">
        <v>27</v>
      </c>
    </row>
    <row r="29" spans="1:17" ht="26" customHeight="1" x14ac:dyDescent="0.35">
      <c r="A29" s="6"/>
      <c r="B29" s="6"/>
      <c r="C29" s="6"/>
      <c r="D29" s="6"/>
      <c r="E29" s="6"/>
      <c r="F29" s="7" t="s">
        <v>70</v>
      </c>
      <c r="G29" s="6"/>
      <c r="H29" s="6"/>
      <c r="I29" s="6"/>
      <c r="J29" s="6"/>
      <c r="K29" s="6"/>
      <c r="L29" s="6"/>
      <c r="M29" s="6"/>
      <c r="N29" s="6"/>
      <c r="Q29" s="1" t="s">
        <v>28</v>
      </c>
    </row>
    <row r="30" spans="1:17" ht="26" customHeight="1" x14ac:dyDescent="0.35">
      <c r="F30" s="5" t="s">
        <v>68</v>
      </c>
      <c r="Q30" s="1" t="s">
        <v>29</v>
      </c>
    </row>
    <row r="31" spans="1:17" x14ac:dyDescent="0.35">
      <c r="Q31" s="1" t="s">
        <v>30</v>
      </c>
    </row>
    <row r="32" spans="1:17" ht="20" customHeight="1" x14ac:dyDescent="0.35">
      <c r="A32" s="215" t="s">
        <v>69</v>
      </c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Q32" s="1" t="s">
        <v>31</v>
      </c>
    </row>
    <row r="33" spans="17:17" ht="26" customHeight="1" x14ac:dyDescent="0.35">
      <c r="Q33" s="1" t="s">
        <v>32</v>
      </c>
    </row>
    <row r="34" spans="17:17" x14ac:dyDescent="0.35">
      <c r="Q34" s="1" t="s">
        <v>33</v>
      </c>
    </row>
    <row r="35" spans="17:17" ht="20" customHeight="1" x14ac:dyDescent="0.35">
      <c r="Q35" s="1" t="s">
        <v>34</v>
      </c>
    </row>
    <row r="36" spans="17:17" x14ac:dyDescent="0.35">
      <c r="Q36" s="1" t="s">
        <v>35</v>
      </c>
    </row>
    <row r="37" spans="17:17" x14ac:dyDescent="0.35">
      <c r="Q37" s="1" t="s">
        <v>36</v>
      </c>
    </row>
    <row r="38" spans="17:17" x14ac:dyDescent="0.35">
      <c r="Q38" s="1" t="s">
        <v>37</v>
      </c>
    </row>
    <row r="39" spans="17:17" x14ac:dyDescent="0.35">
      <c r="Q39" s="1" t="s">
        <v>38</v>
      </c>
    </row>
    <row r="40" spans="17:17" x14ac:dyDescent="0.35">
      <c r="Q40" s="1" t="s">
        <v>39</v>
      </c>
    </row>
    <row r="41" spans="17:17" x14ac:dyDescent="0.35">
      <c r="Q41" s="1" t="s">
        <v>40</v>
      </c>
    </row>
    <row r="42" spans="17:17" x14ac:dyDescent="0.35">
      <c r="Q42" s="1" t="s">
        <v>41</v>
      </c>
    </row>
    <row r="43" spans="17:17" x14ac:dyDescent="0.35">
      <c r="Q43" s="1" t="s">
        <v>42</v>
      </c>
    </row>
    <row r="44" spans="17:17" x14ac:dyDescent="0.35">
      <c r="Q44" s="1" t="s">
        <v>43</v>
      </c>
    </row>
    <row r="45" spans="17:17" x14ac:dyDescent="0.35">
      <c r="Q45" s="1" t="s">
        <v>44</v>
      </c>
    </row>
    <row r="46" spans="17:17" x14ac:dyDescent="0.35">
      <c r="Q46" s="1" t="s">
        <v>45</v>
      </c>
    </row>
    <row r="47" spans="17:17" x14ac:dyDescent="0.35">
      <c r="Q47" s="1" t="s">
        <v>46</v>
      </c>
    </row>
    <row r="48" spans="17:17" x14ac:dyDescent="0.35">
      <c r="Q48" s="1" t="s">
        <v>47</v>
      </c>
    </row>
    <row r="49" spans="17:17" x14ac:dyDescent="0.35">
      <c r="Q49" s="1" t="s">
        <v>48</v>
      </c>
    </row>
    <row r="50" spans="17:17" x14ac:dyDescent="0.35">
      <c r="Q50" s="1" t="s">
        <v>49</v>
      </c>
    </row>
    <row r="51" spans="17:17" x14ac:dyDescent="0.35">
      <c r="Q51" s="1" t="s">
        <v>50</v>
      </c>
    </row>
    <row r="52" spans="17:17" x14ac:dyDescent="0.35">
      <c r="Q52" s="1" t="s">
        <v>51</v>
      </c>
    </row>
  </sheetData>
  <mergeCells count="3">
    <mergeCell ref="A1:N5"/>
    <mergeCell ref="A6:N6"/>
    <mergeCell ref="A32:N3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0" r:id="rId4" name="Drop Down 66">
              <controlPr defaultSize="0" autoFill="0" autoPict="0" macro="[0]!CHANGER_FILIALE">
                <anchor moveWithCells="1">
                  <from>
                    <xdr:col>3</xdr:col>
                    <xdr:colOff>0</xdr:colOff>
                    <xdr:row>8</xdr:row>
                    <xdr:rowOff>38100</xdr:rowOff>
                  </from>
                  <to>
                    <xdr:col>5</xdr:col>
                    <xdr:colOff>914400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" name="Drop Down 67">
              <controlPr defaultSize="0" autoFill="0" autoPict="0" macro="[0]!CHANGER_SEMAINES">
                <anchor moveWithCells="1">
                  <from>
                    <xdr:col>3</xdr:col>
                    <xdr:colOff>0</xdr:colOff>
                    <xdr:row>10</xdr:row>
                    <xdr:rowOff>38100</xdr:rowOff>
                  </from>
                  <to>
                    <xdr:col>5</xdr:col>
                    <xdr:colOff>914400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Drop Down 68">
              <controlPr defaultSize="0" autoFill="0" autoPict="0" macro="[0]!CHANGER_SEMAINES">
                <anchor moveWithCells="1">
                  <from>
                    <xdr:col>3</xdr:col>
                    <xdr:colOff>0</xdr:colOff>
                    <xdr:row>12</xdr:row>
                    <xdr:rowOff>38100</xdr:rowOff>
                  </from>
                  <to>
                    <xdr:col>5</xdr:col>
                    <xdr:colOff>914400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" name="Drop Down 69">
              <controlPr defaultSize="0" autoFill="0" autoPict="0" macro="[0]!CHANGER_SEMAINES">
                <anchor moveWithCells="1">
                  <from>
                    <xdr:col>3</xdr:col>
                    <xdr:colOff>0</xdr:colOff>
                    <xdr:row>14</xdr:row>
                    <xdr:rowOff>38100</xdr:rowOff>
                  </from>
                  <to>
                    <xdr:col>5</xdr:col>
                    <xdr:colOff>914400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8" name="Drop Down 70">
              <controlPr defaultSize="0" autoFill="0" autoPict="0" macro="[0]!CHANGER_SEMAINES">
                <anchor moveWithCells="1">
                  <from>
                    <xdr:col>3</xdr:col>
                    <xdr:colOff>0</xdr:colOff>
                    <xdr:row>16</xdr:row>
                    <xdr:rowOff>38100</xdr:rowOff>
                  </from>
                  <to>
                    <xdr:col>5</xdr:col>
                    <xdr:colOff>914400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ALLER_TDB_GROUPE">
                <anchor moveWithCells="1" sizeWithCells="1">
                  <from>
                    <xdr:col>1</xdr:col>
                    <xdr:colOff>25400</xdr:colOff>
                    <xdr:row>19</xdr:row>
                    <xdr:rowOff>25400</xdr:rowOff>
                  </from>
                  <to>
                    <xdr:col>3</xdr:col>
                    <xdr:colOff>571500</xdr:colOff>
                    <xdr:row>19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" name="Button 72">
              <controlPr defaultSize="0" print="0" autoFill="0" autoPict="0" macro="[0]!ALLER_TDB_FILIALE">
                <anchor moveWithCells="1" sizeWithCells="1">
                  <from>
                    <xdr:col>1</xdr:col>
                    <xdr:colOff>25400</xdr:colOff>
                    <xdr:row>20</xdr:row>
                    <xdr:rowOff>25400</xdr:rowOff>
                  </from>
                  <to>
                    <xdr:col>3</xdr:col>
                    <xdr:colOff>571500</xdr:colOff>
                    <xdr:row>20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1" name="Button 73">
              <controlPr defaultSize="0" print="0" autoFill="0" autoPict="0" macro="[0]!ALLER_RECAP_GOUVERNANCE">
                <anchor moveWithCells="1" sizeWithCells="1">
                  <from>
                    <xdr:col>1</xdr:col>
                    <xdr:colOff>25400</xdr:colOff>
                    <xdr:row>21</xdr:row>
                    <xdr:rowOff>25400</xdr:rowOff>
                  </from>
                  <to>
                    <xdr:col>3</xdr:col>
                    <xdr:colOff>571500</xdr:colOff>
                    <xdr:row>21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2" name="Button 74">
              <controlPr defaultSize="0" print="0" autoFill="0" autoPict="0" macro="[0]!ALLER_RECAP_AML">
                <anchor moveWithCells="1" sizeWithCells="1">
                  <from>
                    <xdr:col>1</xdr:col>
                    <xdr:colOff>25400</xdr:colOff>
                    <xdr:row>22</xdr:row>
                    <xdr:rowOff>25400</xdr:rowOff>
                  </from>
                  <to>
                    <xdr:col>3</xdr:col>
                    <xdr:colOff>571500</xdr:colOff>
                    <xdr:row>22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3" name="Button 75">
              <controlPr defaultSize="0" print="0" autoFill="0" autoPict="0" macro="[0]!ALLER_RECAP_SANCTIONS">
                <anchor moveWithCells="1" sizeWithCells="1">
                  <from>
                    <xdr:col>1</xdr:col>
                    <xdr:colOff>25400</xdr:colOff>
                    <xdr:row>23</xdr:row>
                    <xdr:rowOff>25400</xdr:rowOff>
                  </from>
                  <to>
                    <xdr:col>3</xdr:col>
                    <xdr:colOff>571500</xdr:colOff>
                    <xdr:row>23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4" name="Button 76">
              <controlPr defaultSize="0" print="0" autoFill="0" autoPict="0" macro="[0]!ALLER_INDICATEURS">
                <anchor moveWithCells="1" sizeWithCells="1">
                  <from>
                    <xdr:col>1</xdr:col>
                    <xdr:colOff>25400</xdr:colOff>
                    <xdr:row>24</xdr:row>
                    <xdr:rowOff>25400</xdr:rowOff>
                  </from>
                  <to>
                    <xdr:col>3</xdr:col>
                    <xdr:colOff>571500</xdr:colOff>
                    <xdr:row>24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5" name="Button 77">
              <controlPr defaultSize="0" print="0" autoFill="0" autoPict="0" macro="[0]!ALLER_METRIQUES">
                <anchor moveWithCells="1" sizeWithCells="1">
                  <from>
                    <xdr:col>1</xdr:col>
                    <xdr:colOff>25400</xdr:colOff>
                    <xdr:row>25</xdr:row>
                    <xdr:rowOff>25400</xdr:rowOff>
                  </from>
                  <to>
                    <xdr:col>3</xdr:col>
                    <xdr:colOff>571500</xdr:colOff>
                    <xdr:row>25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6" name="Button 78">
              <controlPr defaultSize="0" print="0" autoFill="0" autoPict="0" macro="[0]!ALLER_BASE_GRAPHIQUES">
                <anchor moveWithCells="1" sizeWithCells="1">
                  <from>
                    <xdr:col>1</xdr:col>
                    <xdr:colOff>25400</xdr:colOff>
                    <xdr:row>26</xdr:row>
                    <xdr:rowOff>25400</xdr:rowOff>
                  </from>
                  <to>
                    <xdr:col>3</xdr:col>
                    <xdr:colOff>571500</xdr:colOff>
                    <xdr:row>26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7" name="Button 79">
              <controlPr defaultSize="0" print="0" autoFill="0" autoPict="0" macro="[0]!ALLER_LEXIQUE">
                <anchor moveWithCells="1" sizeWithCells="1">
                  <from>
                    <xdr:col>1</xdr:col>
                    <xdr:colOff>25400</xdr:colOff>
                    <xdr:row>27</xdr:row>
                    <xdr:rowOff>25400</xdr:rowOff>
                  </from>
                  <to>
                    <xdr:col>3</xdr:col>
                    <xdr:colOff>571500</xdr:colOff>
                    <xdr:row>27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8" name="Button 80">
              <controlPr defaultSize="0" print="0" autoFill="0" autoPict="0" macro="[0]!TOUTES_LES_FEUILLES">
                <anchor moveWithCells="1" sizeWithCells="1">
                  <from>
                    <xdr:col>1</xdr:col>
                    <xdr:colOff>25400</xdr:colOff>
                    <xdr:row>28</xdr:row>
                    <xdr:rowOff>25400</xdr:rowOff>
                  </from>
                  <to>
                    <xdr:col>3</xdr:col>
                    <xdr:colOff>571500</xdr:colOff>
                    <xdr:row>28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9" name="Button 81">
              <controlPr defaultSize="0" print="0" autoFill="0" autoPict="0" macro="[0]!RAFRAICHIR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571500</xdr:colOff>
                    <xdr:row>29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20" name="Btn_Connexion">
              <controlPr defaultSize="0" print="0" autoFill="0" autoPict="0" macro="[0]!CONNEXION">
                <anchor moveWithCells="1" sizeWithCells="1">
                  <from>
                    <xdr:col>3</xdr:col>
                    <xdr:colOff>0</xdr:colOff>
                    <xdr:row>6</xdr:row>
                    <xdr:rowOff>25400</xdr:rowOff>
                  </from>
                  <to>
                    <xdr:col>5</xdr:col>
                    <xdr:colOff>914400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21F96-164A-4861-AF36-2752FAE257E1}">
  <sheetPr codeName="Feuil13"/>
  <dimension ref="A1:P36"/>
  <sheetViews>
    <sheetView zoomScaleNormal="100" workbookViewId="0">
      <pane ySplit="3" topLeftCell="A4" activePane="bottomLeft" state="frozen"/>
      <selection pane="bottomLeft" sqref="A1:P1"/>
    </sheetView>
  </sheetViews>
  <sheetFormatPr baseColWidth="10" defaultRowHeight="14.5" x14ac:dyDescent="0.35"/>
  <cols>
    <col min="1" max="1" width="22.6328125" customWidth="1"/>
    <col min="2" max="10" width="11.6328125" customWidth="1"/>
    <col min="11" max="11" width="14.6328125" customWidth="1"/>
    <col min="12" max="12" width="10.6328125" customWidth="1"/>
    <col min="13" max="13" width="8.6328125" customWidth="1"/>
    <col min="14" max="15" width="10.6328125" customWidth="1"/>
    <col min="16" max="16" width="20.6328125" customWidth="1"/>
  </cols>
  <sheetData>
    <row r="1" spans="1:16" ht="35" customHeight="1" x14ac:dyDescent="0.35">
      <c r="A1" s="216" t="s">
        <v>194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</row>
    <row r="2" spans="1:16" ht="22" customHeight="1" x14ac:dyDescent="0.35">
      <c r="A2" s="142" t="s">
        <v>288</v>
      </c>
      <c r="B2" s="6"/>
      <c r="C2" s="6"/>
      <c r="D2" s="6"/>
      <c r="E2" s="6"/>
      <c r="F2" s="6"/>
      <c r="G2" s="6"/>
      <c r="H2" s="6"/>
      <c r="I2" s="6"/>
      <c r="J2" s="6"/>
      <c r="K2" s="6"/>
      <c r="L2" s="135" t="s">
        <v>128</v>
      </c>
      <c r="M2" s="143" t="s">
        <v>195</v>
      </c>
      <c r="N2" s="6"/>
      <c r="O2" s="6"/>
      <c r="P2" s="6"/>
    </row>
    <row r="3" spans="1:16" ht="35" customHeight="1" x14ac:dyDescent="0.35">
      <c r="A3" s="163" t="s">
        <v>129</v>
      </c>
      <c r="B3" s="158" t="s">
        <v>196</v>
      </c>
      <c r="C3" s="140" t="s">
        <v>197</v>
      </c>
      <c r="D3" s="140" t="s">
        <v>198</v>
      </c>
      <c r="E3" s="140" t="s">
        <v>193</v>
      </c>
      <c r="F3" s="140" t="s">
        <v>199</v>
      </c>
      <c r="G3" s="140" t="s">
        <v>200</v>
      </c>
      <c r="H3" s="140" t="s">
        <v>201</v>
      </c>
      <c r="I3" s="140" t="s">
        <v>202</v>
      </c>
      <c r="J3" s="166" t="s">
        <v>136</v>
      </c>
      <c r="K3" s="176" t="s">
        <v>203</v>
      </c>
      <c r="L3" s="171" t="s">
        <v>130</v>
      </c>
      <c r="M3" s="144" t="s">
        <v>131</v>
      </c>
      <c r="N3" s="144" t="s">
        <v>204</v>
      </c>
      <c r="O3" s="144" t="s">
        <v>205</v>
      </c>
      <c r="P3" s="144" t="s">
        <v>132</v>
      </c>
    </row>
    <row r="4" spans="1:16" ht="20" customHeight="1" x14ac:dyDescent="0.35">
      <c r="A4" s="218" t="s">
        <v>140</v>
      </c>
      <c r="B4" s="219"/>
      <c r="C4" s="220"/>
      <c r="D4" s="220"/>
      <c r="E4" s="220"/>
      <c r="F4" s="220"/>
      <c r="G4" s="220"/>
      <c r="H4" s="220"/>
      <c r="I4" s="220"/>
      <c r="J4" s="221"/>
      <c r="K4" s="222"/>
      <c r="L4" s="219"/>
      <c r="M4" s="220"/>
      <c r="N4" s="220"/>
      <c r="O4" s="220"/>
      <c r="P4" s="220"/>
    </row>
    <row r="5" spans="1:16" ht="20" customHeight="1" x14ac:dyDescent="0.35">
      <c r="A5" s="164" t="s">
        <v>96</v>
      </c>
      <c r="B5" s="159">
        <v>0</v>
      </c>
      <c r="C5" s="145">
        <v>0</v>
      </c>
      <c r="D5" s="145">
        <v>1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67">
        <v>0.60305343511450382</v>
      </c>
      <c r="K5" s="177">
        <f>IFERROR(AVERAGE(B5:J5),"—")</f>
        <v>0.17811704834605599</v>
      </c>
      <c r="L5" s="172">
        <v>0.95</v>
      </c>
      <c r="M5" s="128" t="str">
        <f>IF(K5&gt;=0.95,"V",IF(K5&gt;=0.8,"O","R"))</f>
        <v>R</v>
      </c>
      <c r="N5" s="146">
        <f t="shared" ref="N5:N14" si="0">IFERROR(MIN(B5:J5),"—")</f>
        <v>0</v>
      </c>
      <c r="O5" s="147">
        <f t="shared" ref="O5:O14" si="1">IFERROR(MAX(B5:J5),"—")</f>
        <v>1</v>
      </c>
      <c r="P5" s="148"/>
    </row>
    <row r="6" spans="1:16" ht="20" customHeight="1" x14ac:dyDescent="0.35">
      <c r="A6" s="165" t="s">
        <v>97</v>
      </c>
      <c r="B6" s="160">
        <v>0.875</v>
      </c>
      <c r="C6" s="149">
        <v>0</v>
      </c>
      <c r="D6" s="149">
        <v>0.5</v>
      </c>
      <c r="E6" s="149">
        <v>0</v>
      </c>
      <c r="F6" s="149">
        <v>0</v>
      </c>
      <c r="G6" s="149">
        <v>0</v>
      </c>
      <c r="H6" s="149">
        <v>0</v>
      </c>
      <c r="I6" s="149">
        <v>0</v>
      </c>
      <c r="J6" s="168">
        <v>0.8</v>
      </c>
      <c r="K6" s="177">
        <f>IFERROR(AVERAGE(B6:J6),"—")</f>
        <v>0.24166666666666664</v>
      </c>
      <c r="L6" s="173">
        <v>0.98</v>
      </c>
      <c r="M6" s="132" t="str">
        <f>IF(K6&gt;=0.95,"V",IF(K6&gt;=0.8,"O","R"))</f>
        <v>R</v>
      </c>
      <c r="N6" s="150">
        <f t="shared" si="0"/>
        <v>0</v>
      </c>
      <c r="O6" s="151">
        <f t="shared" si="1"/>
        <v>0.875</v>
      </c>
      <c r="P6" s="148"/>
    </row>
    <row r="7" spans="1:16" ht="20" customHeight="1" x14ac:dyDescent="0.35">
      <c r="A7" s="164" t="s">
        <v>98</v>
      </c>
      <c r="B7" s="197">
        <v>0</v>
      </c>
      <c r="C7" s="198">
        <v>0</v>
      </c>
      <c r="D7" s="198">
        <v>0</v>
      </c>
      <c r="E7" s="198">
        <v>0</v>
      </c>
      <c r="F7" s="198">
        <v>0</v>
      </c>
      <c r="G7" s="198">
        <v>0</v>
      </c>
      <c r="H7" s="198">
        <v>0</v>
      </c>
      <c r="I7" s="198">
        <v>0</v>
      </c>
      <c r="J7" s="199">
        <v>0</v>
      </c>
      <c r="K7" s="177">
        <f>IFERROR(AVERAGE(B7:J7),"—")</f>
        <v>0</v>
      </c>
      <c r="L7" s="172">
        <v>0.99</v>
      </c>
      <c r="M7" s="128" t="str">
        <f>IF(K7&gt;=0.95,"V",IF(K7&gt;=0.8,"O","R"))</f>
        <v>R</v>
      </c>
      <c r="N7" s="146">
        <f t="shared" si="0"/>
        <v>0</v>
      </c>
      <c r="O7" s="147">
        <f t="shared" si="1"/>
        <v>0</v>
      </c>
      <c r="P7" s="148"/>
    </row>
    <row r="8" spans="1:16" ht="20" customHeight="1" x14ac:dyDescent="0.35">
      <c r="A8" s="165" t="s">
        <v>141</v>
      </c>
      <c r="B8" s="160">
        <v>4.363636363636364E-2</v>
      </c>
      <c r="C8" s="149">
        <v>0</v>
      </c>
      <c r="D8" s="149">
        <v>1.2987012987012988E-2</v>
      </c>
      <c r="E8" s="149">
        <v>0</v>
      </c>
      <c r="F8" s="149">
        <v>0</v>
      </c>
      <c r="G8" s="149">
        <v>0</v>
      </c>
      <c r="H8" s="149">
        <v>0</v>
      </c>
      <c r="I8" s="149">
        <v>0</v>
      </c>
      <c r="J8" s="168">
        <v>2.8571428571428571E-2</v>
      </c>
      <c r="K8" s="177">
        <f>IFERROR(AVERAGE(B8:J8),"—")</f>
        <v>9.4660894660894661E-3</v>
      </c>
      <c r="L8" s="174"/>
      <c r="M8" s="132" t="str">
        <f>IF(K8&gt;=0.95,"V",IF(K8&gt;=0.8,"O","R"))</f>
        <v>R</v>
      </c>
      <c r="N8" s="150">
        <f t="shared" si="0"/>
        <v>0</v>
      </c>
      <c r="O8" s="151">
        <f t="shared" si="1"/>
        <v>4.363636363636364E-2</v>
      </c>
      <c r="P8" s="148"/>
    </row>
    <row r="9" spans="1:16" ht="20" customHeight="1" x14ac:dyDescent="0.35">
      <c r="A9" s="164" t="s">
        <v>142</v>
      </c>
      <c r="B9" s="159">
        <v>0.92452830188679247</v>
      </c>
      <c r="C9" s="145">
        <v>0</v>
      </c>
      <c r="D9" s="145">
        <v>0.66894197952218426</v>
      </c>
      <c r="E9" s="145">
        <v>0</v>
      </c>
      <c r="F9" s="145">
        <v>0</v>
      </c>
      <c r="G9" s="145">
        <v>0</v>
      </c>
      <c r="H9" s="145">
        <v>0</v>
      </c>
      <c r="I9" s="145">
        <v>0</v>
      </c>
      <c r="J9" s="167">
        <v>0.5</v>
      </c>
      <c r="K9" s="177">
        <f>IFERROR(AVERAGE(B9:J9),"—")</f>
        <v>0.23260780904544187</v>
      </c>
      <c r="L9" s="172">
        <v>1</v>
      </c>
      <c r="M9" s="128" t="str">
        <f>IF(K9&gt;=0.95,"V",IF(K9&gt;=0.8,"O","R"))</f>
        <v>R</v>
      </c>
      <c r="N9" s="146">
        <f t="shared" si="0"/>
        <v>0</v>
      </c>
      <c r="O9" s="147">
        <f t="shared" si="1"/>
        <v>0.92452830188679247</v>
      </c>
      <c r="P9" s="148"/>
    </row>
    <row r="10" spans="1:16" ht="20" customHeight="1" x14ac:dyDescent="0.35">
      <c r="A10" s="165" t="s">
        <v>143</v>
      </c>
      <c r="B10" s="161">
        <v>4</v>
      </c>
      <c r="C10" s="152">
        <v>0</v>
      </c>
      <c r="D10" s="152">
        <v>14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69">
        <v>8</v>
      </c>
      <c r="K10" s="178">
        <f>IFERROR(SUM(B10:J10),"—")</f>
        <v>26</v>
      </c>
      <c r="L10" s="174">
        <v>0</v>
      </c>
      <c r="M10" s="132" t="s">
        <v>133</v>
      </c>
      <c r="N10" s="153">
        <f t="shared" si="0"/>
        <v>0</v>
      </c>
      <c r="O10" s="154">
        <f t="shared" si="1"/>
        <v>14</v>
      </c>
      <c r="P10" s="148"/>
    </row>
    <row r="11" spans="1:16" ht="20" customHeight="1" x14ac:dyDescent="0.35">
      <c r="A11" s="164" t="s">
        <v>134</v>
      </c>
      <c r="B11" s="162">
        <v>0</v>
      </c>
      <c r="C11" s="155">
        <v>0</v>
      </c>
      <c r="D11" s="155">
        <v>0</v>
      </c>
      <c r="E11" s="155">
        <v>0</v>
      </c>
      <c r="F11" s="155">
        <v>0</v>
      </c>
      <c r="G11" s="155">
        <v>0</v>
      </c>
      <c r="H11" s="155">
        <v>0</v>
      </c>
      <c r="I11" s="155">
        <v>0</v>
      </c>
      <c r="J11" s="170">
        <v>0</v>
      </c>
      <c r="K11" s="178">
        <f>IFERROR(SUM(B11:J11),"—")</f>
        <v>0</v>
      </c>
      <c r="L11" s="175">
        <v>0</v>
      </c>
      <c r="M11" s="128" t="s">
        <v>133</v>
      </c>
      <c r="N11" s="156">
        <f t="shared" si="0"/>
        <v>0</v>
      </c>
      <c r="O11" s="157">
        <f t="shared" si="1"/>
        <v>0</v>
      </c>
      <c r="P11" s="148"/>
    </row>
    <row r="12" spans="1:16" ht="20" customHeight="1" x14ac:dyDescent="0.35">
      <c r="A12" s="165" t="s">
        <v>144</v>
      </c>
      <c r="B12" s="161">
        <v>0</v>
      </c>
      <c r="C12" s="152">
        <v>0</v>
      </c>
      <c r="D12" s="152">
        <v>0</v>
      </c>
      <c r="E12" s="152">
        <v>0</v>
      </c>
      <c r="F12" s="152">
        <v>0</v>
      </c>
      <c r="G12" s="152">
        <v>0</v>
      </c>
      <c r="H12" s="152">
        <v>0</v>
      </c>
      <c r="I12" s="152">
        <v>0</v>
      </c>
      <c r="J12" s="169">
        <v>0</v>
      </c>
      <c r="K12" s="178">
        <f>IFERROR(SUM(B12:J12),"—")</f>
        <v>0</v>
      </c>
      <c r="L12" s="174">
        <v>0</v>
      </c>
      <c r="M12" s="132" t="s">
        <v>133</v>
      </c>
      <c r="N12" s="153">
        <f t="shared" si="0"/>
        <v>0</v>
      </c>
      <c r="O12" s="154">
        <f t="shared" si="1"/>
        <v>0</v>
      </c>
      <c r="P12" s="148"/>
    </row>
    <row r="13" spans="1:16" ht="20" customHeight="1" x14ac:dyDescent="0.35">
      <c r="A13" s="164" t="s">
        <v>145</v>
      </c>
      <c r="B13" s="159">
        <v>0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67">
        <v>0</v>
      </c>
      <c r="K13" s="177">
        <f>IFERROR(AVERAGE(B13:J13),"—")</f>
        <v>0</v>
      </c>
      <c r="L13" s="172">
        <v>1</v>
      </c>
      <c r="M13" s="128" t="str">
        <f>IF(K13&gt;=0.95,"V",IF(K13&gt;=0.8,"O","R"))</f>
        <v>R</v>
      </c>
      <c r="N13" s="146">
        <f t="shared" si="0"/>
        <v>0</v>
      </c>
      <c r="O13" s="147">
        <f t="shared" si="1"/>
        <v>0</v>
      </c>
      <c r="P13" s="148"/>
    </row>
    <row r="14" spans="1:16" ht="20" customHeight="1" x14ac:dyDescent="0.35">
      <c r="A14" s="165" t="s">
        <v>146</v>
      </c>
      <c r="B14" s="160">
        <v>0</v>
      </c>
      <c r="C14" s="149">
        <v>0</v>
      </c>
      <c r="D14" s="149">
        <v>0</v>
      </c>
      <c r="E14" s="149">
        <v>0</v>
      </c>
      <c r="F14" s="149">
        <v>0</v>
      </c>
      <c r="G14" s="149">
        <v>0</v>
      </c>
      <c r="H14" s="149">
        <v>0</v>
      </c>
      <c r="I14" s="149">
        <v>0</v>
      </c>
      <c r="J14" s="168">
        <v>0</v>
      </c>
      <c r="K14" s="177">
        <f>IFERROR(AVERAGE(B14:J14),"—")</f>
        <v>0</v>
      </c>
      <c r="L14" s="173">
        <v>0.86</v>
      </c>
      <c r="M14" s="132" t="str">
        <f>IF(K14&gt;=0.95,"V",IF(K14&gt;=0.8,"O","R"))</f>
        <v>R</v>
      </c>
      <c r="N14" s="150">
        <f t="shared" si="0"/>
        <v>0</v>
      </c>
      <c r="O14" s="151">
        <f t="shared" si="1"/>
        <v>0</v>
      </c>
      <c r="P14" s="148"/>
    </row>
    <row r="15" spans="1:16" ht="20" customHeight="1" x14ac:dyDescent="0.35">
      <c r="A15" s="218" t="s">
        <v>147</v>
      </c>
      <c r="B15" s="219"/>
      <c r="C15" s="220"/>
      <c r="D15" s="220"/>
      <c r="E15" s="220"/>
      <c r="F15" s="220"/>
      <c r="G15" s="220"/>
      <c r="H15" s="220"/>
      <c r="I15" s="220"/>
      <c r="J15" s="221"/>
      <c r="K15" s="222"/>
      <c r="L15" s="219"/>
      <c r="M15" s="220"/>
      <c r="N15" s="220"/>
      <c r="O15" s="220"/>
      <c r="P15" s="220"/>
    </row>
    <row r="16" spans="1:16" ht="20" customHeight="1" x14ac:dyDescent="0.35">
      <c r="A16" s="165" t="s">
        <v>148</v>
      </c>
      <c r="B16" s="160">
        <v>0</v>
      </c>
      <c r="C16" s="149">
        <v>0</v>
      </c>
      <c r="D16" s="149">
        <v>0</v>
      </c>
      <c r="E16" s="149">
        <v>0</v>
      </c>
      <c r="F16" s="149">
        <v>0</v>
      </c>
      <c r="G16" s="149">
        <v>0</v>
      </c>
      <c r="H16" s="149">
        <v>0</v>
      </c>
      <c r="I16" s="149">
        <v>0</v>
      </c>
      <c r="J16" s="168">
        <v>0.5714285714285714</v>
      </c>
      <c r="K16" s="177">
        <f>IFERROR(AVERAGE(B16:J16),"—")</f>
        <v>6.3492063492063489E-2</v>
      </c>
      <c r="L16" s="173">
        <v>1</v>
      </c>
      <c r="M16" s="132" t="str">
        <f>IF(K16&gt;=0.95,"V",IF(K16&gt;=0.8,"O","R"))</f>
        <v>R</v>
      </c>
      <c r="N16" s="150">
        <f t="shared" ref="N16:N25" si="2">IFERROR(MIN(B16:J16),"—")</f>
        <v>0</v>
      </c>
      <c r="O16" s="151">
        <f t="shared" ref="O16:O25" si="3">IFERROR(MAX(B16:J16),"—")</f>
        <v>0.5714285714285714</v>
      </c>
      <c r="P16" s="148"/>
    </row>
    <row r="17" spans="1:16" ht="20" customHeight="1" x14ac:dyDescent="0.35">
      <c r="A17" s="164" t="s">
        <v>149</v>
      </c>
      <c r="B17" s="162">
        <v>0</v>
      </c>
      <c r="C17" s="155">
        <v>0</v>
      </c>
      <c r="D17" s="155">
        <v>0</v>
      </c>
      <c r="E17" s="155">
        <v>0</v>
      </c>
      <c r="F17" s="155">
        <v>0</v>
      </c>
      <c r="G17" s="155">
        <v>0</v>
      </c>
      <c r="H17" s="155">
        <v>0</v>
      </c>
      <c r="I17" s="155">
        <v>0</v>
      </c>
      <c r="J17" s="170">
        <v>0</v>
      </c>
      <c r="K17" s="178">
        <f>IFERROR(SUM(B17:J17),"—")</f>
        <v>0</v>
      </c>
      <c r="L17" s="175">
        <v>0</v>
      </c>
      <c r="M17" s="128" t="s">
        <v>133</v>
      </c>
      <c r="N17" s="156">
        <f t="shared" si="2"/>
        <v>0</v>
      </c>
      <c r="O17" s="157">
        <f t="shared" si="3"/>
        <v>0</v>
      </c>
      <c r="P17" s="148"/>
    </row>
    <row r="18" spans="1:16" ht="20" customHeight="1" x14ac:dyDescent="0.35">
      <c r="A18" s="165" t="s">
        <v>150</v>
      </c>
      <c r="B18" s="160">
        <v>0.23883495145631067</v>
      </c>
      <c r="C18" s="149">
        <v>0</v>
      </c>
      <c r="D18" s="149">
        <v>0</v>
      </c>
      <c r="E18" s="149">
        <v>0</v>
      </c>
      <c r="F18" s="149">
        <v>0</v>
      </c>
      <c r="G18" s="149">
        <v>0</v>
      </c>
      <c r="H18" s="149">
        <v>0</v>
      </c>
      <c r="I18" s="149">
        <v>0</v>
      </c>
      <c r="J18" s="168">
        <v>0.76190476190476186</v>
      </c>
      <c r="K18" s="177">
        <f>IFERROR(AVERAGE(B18:J18),"—")</f>
        <v>0.11119330148456361</v>
      </c>
      <c r="L18" s="173">
        <v>1</v>
      </c>
      <c r="M18" s="132" t="str">
        <f>IF(K18&gt;=0.95,"V",IF(K18&gt;=0.8,"O","R"))</f>
        <v>R</v>
      </c>
      <c r="N18" s="150">
        <f t="shared" si="2"/>
        <v>0</v>
      </c>
      <c r="O18" s="151">
        <f t="shared" si="3"/>
        <v>0.76190476190476186</v>
      </c>
      <c r="P18" s="148"/>
    </row>
    <row r="19" spans="1:16" ht="20" customHeight="1" x14ac:dyDescent="0.35">
      <c r="A19" s="164" t="s">
        <v>151</v>
      </c>
      <c r="B19" s="159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67">
        <v>0.61538461538461542</v>
      </c>
      <c r="K19" s="177">
        <f>IFERROR(AVERAGE(B19:J19),"—")</f>
        <v>6.8376068376068383E-2</v>
      </c>
      <c r="L19" s="172">
        <v>1</v>
      </c>
      <c r="M19" s="128" t="str">
        <f>IF(K19&gt;=0.95,"V",IF(K19&gt;=0.8,"O","R"))</f>
        <v>R</v>
      </c>
      <c r="N19" s="146">
        <f t="shared" si="2"/>
        <v>0</v>
      </c>
      <c r="O19" s="147">
        <f t="shared" si="3"/>
        <v>0.61538461538461542</v>
      </c>
      <c r="P19" s="148"/>
    </row>
    <row r="20" spans="1:16" ht="20" customHeight="1" x14ac:dyDescent="0.35">
      <c r="A20" s="165" t="s">
        <v>110</v>
      </c>
      <c r="B20" s="161">
        <v>0</v>
      </c>
      <c r="C20" s="152">
        <v>0</v>
      </c>
      <c r="D20" s="152">
        <v>0</v>
      </c>
      <c r="E20" s="152">
        <v>0</v>
      </c>
      <c r="F20" s="152">
        <v>0</v>
      </c>
      <c r="G20" s="152">
        <v>0</v>
      </c>
      <c r="H20" s="152">
        <v>0</v>
      </c>
      <c r="I20" s="152">
        <v>0</v>
      </c>
      <c r="J20" s="169">
        <v>0</v>
      </c>
      <c r="K20" s="178">
        <f>IFERROR(SUM(B20:J20),"—")</f>
        <v>0</v>
      </c>
      <c r="L20" s="174"/>
      <c r="M20" s="132" t="s">
        <v>133</v>
      </c>
      <c r="N20" s="153">
        <f t="shared" si="2"/>
        <v>0</v>
      </c>
      <c r="O20" s="154">
        <f t="shared" si="3"/>
        <v>0</v>
      </c>
      <c r="P20" s="148"/>
    </row>
    <row r="21" spans="1:16" ht="20" customHeight="1" x14ac:dyDescent="0.35">
      <c r="A21" s="164" t="s">
        <v>206</v>
      </c>
      <c r="B21" s="162">
        <v>0</v>
      </c>
      <c r="C21" s="155">
        <v>0</v>
      </c>
      <c r="D21" s="155">
        <v>0</v>
      </c>
      <c r="E21" s="155">
        <v>0</v>
      </c>
      <c r="F21" s="155">
        <v>0</v>
      </c>
      <c r="G21" s="155">
        <v>0</v>
      </c>
      <c r="H21" s="155">
        <v>0</v>
      </c>
      <c r="I21" s="155">
        <v>0</v>
      </c>
      <c r="J21" s="170">
        <v>0</v>
      </c>
      <c r="K21" s="178">
        <f>IFERROR(SUM(B21:J21),"—")</f>
        <v>0</v>
      </c>
      <c r="L21" s="175"/>
      <c r="M21" s="128" t="s">
        <v>133</v>
      </c>
      <c r="N21" s="156">
        <f t="shared" si="2"/>
        <v>0</v>
      </c>
      <c r="O21" s="157">
        <f t="shared" si="3"/>
        <v>0</v>
      </c>
      <c r="P21" s="148"/>
    </row>
    <row r="22" spans="1:16" ht="20" customHeight="1" x14ac:dyDescent="0.35">
      <c r="A22" s="165" t="s">
        <v>152</v>
      </c>
      <c r="B22" s="161">
        <v>0</v>
      </c>
      <c r="C22" s="152">
        <v>0</v>
      </c>
      <c r="D22" s="152">
        <v>0</v>
      </c>
      <c r="E22" s="152">
        <v>0</v>
      </c>
      <c r="F22" s="152">
        <v>0</v>
      </c>
      <c r="G22" s="152">
        <v>0</v>
      </c>
      <c r="H22" s="152">
        <v>0</v>
      </c>
      <c r="I22" s="152">
        <v>0</v>
      </c>
      <c r="J22" s="169">
        <v>0</v>
      </c>
      <c r="K22" s="178">
        <f>IFERROR(SUM(B22:J22),"—")</f>
        <v>0</v>
      </c>
      <c r="L22" s="174"/>
      <c r="M22" s="132" t="s">
        <v>133</v>
      </c>
      <c r="N22" s="153">
        <f t="shared" si="2"/>
        <v>0</v>
      </c>
      <c r="O22" s="154">
        <f t="shared" si="3"/>
        <v>0</v>
      </c>
      <c r="P22" s="148"/>
    </row>
    <row r="23" spans="1:16" ht="20" customHeight="1" x14ac:dyDescent="0.35">
      <c r="A23" s="164" t="s">
        <v>153</v>
      </c>
      <c r="B23" s="162">
        <v>0</v>
      </c>
      <c r="C23" s="155">
        <v>0</v>
      </c>
      <c r="D23" s="155">
        <v>0</v>
      </c>
      <c r="E23" s="155">
        <v>0</v>
      </c>
      <c r="F23" s="155">
        <v>0</v>
      </c>
      <c r="G23" s="155">
        <v>0</v>
      </c>
      <c r="H23" s="155">
        <v>0</v>
      </c>
      <c r="I23" s="155">
        <v>0</v>
      </c>
      <c r="J23" s="170">
        <v>0</v>
      </c>
      <c r="K23" s="178">
        <f>IFERROR(SUM(B23:J23),"—")</f>
        <v>0</v>
      </c>
      <c r="L23" s="175"/>
      <c r="M23" s="128" t="s">
        <v>133</v>
      </c>
      <c r="N23" s="156">
        <f t="shared" si="2"/>
        <v>0</v>
      </c>
      <c r="O23" s="157">
        <f t="shared" si="3"/>
        <v>0</v>
      </c>
      <c r="P23" s="148"/>
    </row>
    <row r="24" spans="1:16" ht="20" customHeight="1" x14ac:dyDescent="0.35">
      <c r="A24" s="165" t="s">
        <v>154</v>
      </c>
      <c r="B24" s="161">
        <v>0</v>
      </c>
      <c r="C24" s="152">
        <v>0</v>
      </c>
      <c r="D24" s="152">
        <v>0</v>
      </c>
      <c r="E24" s="152">
        <v>0</v>
      </c>
      <c r="F24" s="152">
        <v>0</v>
      </c>
      <c r="G24" s="152">
        <v>0</v>
      </c>
      <c r="H24" s="152">
        <v>0</v>
      </c>
      <c r="I24" s="152">
        <v>0</v>
      </c>
      <c r="J24" s="169">
        <v>0</v>
      </c>
      <c r="K24" s="178">
        <f>IFERROR(SUM(B24:J24),"—")</f>
        <v>0</v>
      </c>
      <c r="L24" s="174"/>
      <c r="M24" s="132" t="s">
        <v>133</v>
      </c>
      <c r="N24" s="153">
        <f t="shared" si="2"/>
        <v>0</v>
      </c>
      <c r="O24" s="154">
        <f t="shared" si="3"/>
        <v>0</v>
      </c>
      <c r="P24" s="148"/>
    </row>
    <row r="25" spans="1:16" ht="20" customHeight="1" x14ac:dyDescent="0.35">
      <c r="A25" s="164" t="s">
        <v>155</v>
      </c>
      <c r="B25" s="159">
        <v>0</v>
      </c>
      <c r="C25" s="145">
        <v>0</v>
      </c>
      <c r="D25" s="145">
        <v>1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67">
        <v>1.1785714285714286</v>
      </c>
      <c r="K25" s="177">
        <f>IFERROR(AVERAGE(B25:J25),"—")</f>
        <v>0.24206349206349209</v>
      </c>
      <c r="L25" s="175"/>
      <c r="M25" s="128" t="str">
        <f>IF(K25&gt;=0.95,"V",IF(K25&gt;=0.8,"O","R"))</f>
        <v>R</v>
      </c>
      <c r="N25" s="146">
        <f t="shared" si="2"/>
        <v>0</v>
      </c>
      <c r="O25" s="147">
        <f t="shared" si="3"/>
        <v>1.1785714285714286</v>
      </c>
      <c r="P25" s="148"/>
    </row>
    <row r="26" spans="1:16" ht="20" customHeight="1" x14ac:dyDescent="0.35">
      <c r="A26" s="218" t="s">
        <v>156</v>
      </c>
      <c r="B26" s="219"/>
      <c r="C26" s="220"/>
      <c r="D26" s="220"/>
      <c r="E26" s="220"/>
      <c r="F26" s="220"/>
      <c r="G26" s="220"/>
      <c r="H26" s="220"/>
      <c r="I26" s="220"/>
      <c r="J26" s="221"/>
      <c r="K26" s="222"/>
      <c r="L26" s="219"/>
      <c r="M26" s="220"/>
      <c r="N26" s="220"/>
      <c r="O26" s="220"/>
      <c r="P26" s="220"/>
    </row>
    <row r="27" spans="1:16" ht="20" customHeight="1" x14ac:dyDescent="0.35">
      <c r="A27" s="164" t="s">
        <v>116</v>
      </c>
      <c r="B27" s="162">
        <v>0</v>
      </c>
      <c r="C27" s="155">
        <v>0</v>
      </c>
      <c r="D27" s="155">
        <v>0</v>
      </c>
      <c r="E27" s="155">
        <v>0</v>
      </c>
      <c r="F27" s="155">
        <v>0</v>
      </c>
      <c r="G27" s="155">
        <v>0</v>
      </c>
      <c r="H27" s="155">
        <v>0</v>
      </c>
      <c r="I27" s="155">
        <v>0</v>
      </c>
      <c r="J27" s="170">
        <v>0</v>
      </c>
      <c r="K27" s="178">
        <f>IFERROR(SUM(B27:J27),"—")</f>
        <v>0</v>
      </c>
      <c r="L27" s="175"/>
      <c r="M27" s="128" t="s">
        <v>133</v>
      </c>
      <c r="N27" s="156">
        <f t="shared" ref="N27:N36" si="4">IFERROR(MIN(B27:J27),"—")</f>
        <v>0</v>
      </c>
      <c r="O27" s="157">
        <f t="shared" ref="O27:O36" si="5">IFERROR(MAX(B27:J27),"—")</f>
        <v>0</v>
      </c>
      <c r="P27" s="148"/>
    </row>
    <row r="28" spans="1:16" ht="20" customHeight="1" x14ac:dyDescent="0.35">
      <c r="A28" s="165" t="s">
        <v>157</v>
      </c>
      <c r="B28" s="161">
        <v>0</v>
      </c>
      <c r="C28" s="152">
        <v>0</v>
      </c>
      <c r="D28" s="152">
        <v>0</v>
      </c>
      <c r="E28" s="152">
        <v>0</v>
      </c>
      <c r="F28" s="152">
        <v>0</v>
      </c>
      <c r="G28" s="152">
        <v>0</v>
      </c>
      <c r="H28" s="152">
        <v>0</v>
      </c>
      <c r="I28" s="152">
        <v>0</v>
      </c>
      <c r="J28" s="169">
        <v>0</v>
      </c>
      <c r="K28" s="178">
        <f>IFERROR(SUM(B28:J28),"—")</f>
        <v>0</v>
      </c>
      <c r="L28" s="174"/>
      <c r="M28" s="132" t="s">
        <v>133</v>
      </c>
      <c r="N28" s="153">
        <f t="shared" si="4"/>
        <v>0</v>
      </c>
      <c r="O28" s="154">
        <f t="shared" si="5"/>
        <v>0</v>
      </c>
      <c r="P28" s="148"/>
    </row>
    <row r="29" spans="1:16" ht="20" customHeight="1" x14ac:dyDescent="0.35">
      <c r="A29" s="164" t="s">
        <v>207</v>
      </c>
      <c r="B29" s="162">
        <v>0</v>
      </c>
      <c r="C29" s="155">
        <v>0</v>
      </c>
      <c r="D29" s="155">
        <v>0</v>
      </c>
      <c r="E29" s="155">
        <v>0</v>
      </c>
      <c r="F29" s="155">
        <v>0</v>
      </c>
      <c r="G29" s="155">
        <v>0</v>
      </c>
      <c r="H29" s="155">
        <v>0</v>
      </c>
      <c r="I29" s="155">
        <v>0</v>
      </c>
      <c r="J29" s="170">
        <v>0</v>
      </c>
      <c r="K29" s="178">
        <f>IFERROR(SUM(B29:J29),"—")</f>
        <v>0</v>
      </c>
      <c r="L29" s="175"/>
      <c r="M29" s="128" t="s">
        <v>133</v>
      </c>
      <c r="N29" s="156">
        <f t="shared" si="4"/>
        <v>0</v>
      </c>
      <c r="O29" s="157">
        <f t="shared" si="5"/>
        <v>0</v>
      </c>
      <c r="P29" s="148"/>
    </row>
    <row r="30" spans="1:16" ht="20" customHeight="1" x14ac:dyDescent="0.35">
      <c r="A30" s="165" t="s">
        <v>159</v>
      </c>
      <c r="B30" s="161">
        <v>0</v>
      </c>
      <c r="C30" s="152">
        <v>0</v>
      </c>
      <c r="D30" s="152">
        <v>0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69">
        <v>0</v>
      </c>
      <c r="K30" s="178">
        <f>IFERROR(SUM(B30:J30),"—")</f>
        <v>0</v>
      </c>
      <c r="L30" s="174"/>
      <c r="M30" s="132" t="s">
        <v>133</v>
      </c>
      <c r="N30" s="153">
        <f t="shared" si="4"/>
        <v>0</v>
      </c>
      <c r="O30" s="154">
        <f t="shared" si="5"/>
        <v>0</v>
      </c>
      <c r="P30" s="148"/>
    </row>
    <row r="31" spans="1:16" ht="20" customHeight="1" x14ac:dyDescent="0.35">
      <c r="A31" s="164" t="s">
        <v>160</v>
      </c>
      <c r="B31" s="162">
        <v>0</v>
      </c>
      <c r="C31" s="155">
        <v>0</v>
      </c>
      <c r="D31" s="155">
        <v>0</v>
      </c>
      <c r="E31" s="155">
        <v>0</v>
      </c>
      <c r="F31" s="155">
        <v>0</v>
      </c>
      <c r="G31" s="155">
        <v>0</v>
      </c>
      <c r="H31" s="155">
        <v>0</v>
      </c>
      <c r="I31" s="155">
        <v>0</v>
      </c>
      <c r="J31" s="170">
        <v>0</v>
      </c>
      <c r="K31" s="178">
        <f>IFERROR(SUM(B31:J31),"—")</f>
        <v>0</v>
      </c>
      <c r="L31" s="175"/>
      <c r="M31" s="128" t="s">
        <v>133</v>
      </c>
      <c r="N31" s="156">
        <f t="shared" si="4"/>
        <v>0</v>
      </c>
      <c r="O31" s="157">
        <f t="shared" si="5"/>
        <v>0</v>
      </c>
      <c r="P31" s="148"/>
    </row>
    <row r="32" spans="1:16" ht="20" customHeight="1" x14ac:dyDescent="0.35">
      <c r="A32" s="165" t="s">
        <v>161</v>
      </c>
      <c r="B32" s="160">
        <v>0</v>
      </c>
      <c r="C32" s="149">
        <v>0</v>
      </c>
      <c r="D32" s="149">
        <v>0</v>
      </c>
      <c r="E32" s="149">
        <v>0</v>
      </c>
      <c r="F32" s="149">
        <v>0</v>
      </c>
      <c r="G32" s="149">
        <v>0</v>
      </c>
      <c r="H32" s="149">
        <v>0</v>
      </c>
      <c r="I32" s="149">
        <v>0</v>
      </c>
      <c r="J32" s="168">
        <v>0.75</v>
      </c>
      <c r="K32" s="177">
        <f>IFERROR(AVERAGE(B32:J32),"—")</f>
        <v>8.3333333333333329E-2</v>
      </c>
      <c r="L32" s="174"/>
      <c r="M32" s="132" t="str">
        <f>IF(K32&gt;=0.95,"V",IF(K32&gt;=0.8,"O","R"))</f>
        <v>R</v>
      </c>
      <c r="N32" s="150">
        <f t="shared" si="4"/>
        <v>0</v>
      </c>
      <c r="O32" s="151">
        <f t="shared" si="5"/>
        <v>0.75</v>
      </c>
      <c r="P32" s="148"/>
    </row>
    <row r="33" spans="1:16" ht="20" customHeight="1" x14ac:dyDescent="0.35">
      <c r="A33" s="164" t="s">
        <v>162</v>
      </c>
      <c r="B33" s="162">
        <v>0</v>
      </c>
      <c r="C33" s="155">
        <v>0</v>
      </c>
      <c r="D33" s="155">
        <v>0</v>
      </c>
      <c r="E33" s="155">
        <v>0</v>
      </c>
      <c r="F33" s="155">
        <v>0</v>
      </c>
      <c r="G33" s="155">
        <v>0</v>
      </c>
      <c r="H33" s="155">
        <v>0</v>
      </c>
      <c r="I33" s="155">
        <v>0</v>
      </c>
      <c r="J33" s="170">
        <v>0</v>
      </c>
      <c r="K33" s="178">
        <f>IFERROR(SUM(B33:J33),"—")</f>
        <v>0</v>
      </c>
      <c r="L33" s="175"/>
      <c r="M33" s="128" t="s">
        <v>133</v>
      </c>
      <c r="N33" s="156">
        <f t="shared" si="4"/>
        <v>0</v>
      </c>
      <c r="O33" s="157">
        <f t="shared" si="5"/>
        <v>0</v>
      </c>
      <c r="P33" s="148"/>
    </row>
    <row r="34" spans="1:16" ht="20" customHeight="1" x14ac:dyDescent="0.35">
      <c r="A34" s="165" t="s">
        <v>123</v>
      </c>
      <c r="B34" s="161">
        <v>0</v>
      </c>
      <c r="C34" s="152">
        <v>0</v>
      </c>
      <c r="D34" s="152">
        <v>0</v>
      </c>
      <c r="E34" s="152">
        <v>0</v>
      </c>
      <c r="F34" s="152">
        <v>0</v>
      </c>
      <c r="G34" s="152">
        <v>0</v>
      </c>
      <c r="H34" s="152">
        <v>0</v>
      </c>
      <c r="I34" s="152">
        <v>0</v>
      </c>
      <c r="J34" s="169">
        <v>0</v>
      </c>
      <c r="K34" s="178">
        <f>IFERROR(SUM(B34:J34),"—")</f>
        <v>0</v>
      </c>
      <c r="L34" s="174"/>
      <c r="M34" s="132" t="s">
        <v>133</v>
      </c>
      <c r="N34" s="153">
        <f t="shared" si="4"/>
        <v>0</v>
      </c>
      <c r="O34" s="154">
        <f t="shared" si="5"/>
        <v>0</v>
      </c>
      <c r="P34" s="148"/>
    </row>
    <row r="35" spans="1:16" ht="20" customHeight="1" x14ac:dyDescent="0.35">
      <c r="A35" s="164" t="s">
        <v>163</v>
      </c>
      <c r="B35" s="162">
        <v>0</v>
      </c>
      <c r="C35" s="155">
        <v>0</v>
      </c>
      <c r="D35" s="155">
        <v>0</v>
      </c>
      <c r="E35" s="155">
        <v>0</v>
      </c>
      <c r="F35" s="155">
        <v>0</v>
      </c>
      <c r="G35" s="155">
        <v>0</v>
      </c>
      <c r="H35" s="155">
        <v>0</v>
      </c>
      <c r="I35" s="155">
        <v>0</v>
      </c>
      <c r="J35" s="170">
        <v>0</v>
      </c>
      <c r="K35" s="178">
        <f>IFERROR(SUM(B35:J35),"—")</f>
        <v>0</v>
      </c>
      <c r="L35" s="175"/>
      <c r="M35" s="128" t="s">
        <v>133</v>
      </c>
      <c r="N35" s="156">
        <f t="shared" si="4"/>
        <v>0</v>
      </c>
      <c r="O35" s="157">
        <f t="shared" si="5"/>
        <v>0</v>
      </c>
      <c r="P35" s="148"/>
    </row>
    <row r="36" spans="1:16" ht="20" customHeight="1" x14ac:dyDescent="0.35">
      <c r="A36" s="165" t="s">
        <v>164</v>
      </c>
      <c r="B36" s="161">
        <v>0</v>
      </c>
      <c r="C36" s="152">
        <v>0</v>
      </c>
      <c r="D36" s="152">
        <v>0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69">
        <v>0</v>
      </c>
      <c r="K36" s="178">
        <f>IFERROR(SUM(B36:J36),"—")</f>
        <v>0</v>
      </c>
      <c r="L36" s="174"/>
      <c r="M36" s="132" t="s">
        <v>133</v>
      </c>
      <c r="N36" s="153">
        <f t="shared" si="4"/>
        <v>0</v>
      </c>
      <c r="O36" s="154">
        <f t="shared" si="5"/>
        <v>0</v>
      </c>
      <c r="P36" s="148"/>
    </row>
  </sheetData>
  <mergeCells count="4">
    <mergeCell ref="A1:P1"/>
    <mergeCell ref="A4:P4"/>
    <mergeCell ref="A15:P15"/>
    <mergeCell ref="A26:P26"/>
  </mergeCells>
  <conditionalFormatting sqref="M5:M37">
    <cfRule type="cellIs" dxfId="25" priority="1" stopIfTrue="1" operator="equal">
      <formula>"""V"""</formula>
    </cfRule>
    <cfRule type="cellIs" dxfId="24" priority="2" stopIfTrue="1" operator="equal">
      <formula>"""O"""</formula>
    </cfRule>
    <cfRule type="cellIs" dxfId="23" priority="3" stopIfTrue="1" operator="equal">
      <formula>"""R"""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37</xdr:row>
                    <xdr:rowOff>25400</xdr:rowOff>
                  </from>
                  <to>
                    <xdr:col>1</xdr:col>
                    <xdr:colOff>323850</xdr:colOff>
                    <xdr:row>38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1A82-A82D-49B2-8EF9-3F4D64E06C1F}">
  <sheetPr codeName="Feuil14"/>
  <dimension ref="A1:N37"/>
  <sheetViews>
    <sheetView showGridLines="0" zoomScaleNormal="100" workbookViewId="0">
      <pane xSplit="2" ySplit="4" topLeftCell="C36" activePane="bottomRight" state="frozen"/>
      <selection pane="topRight" activeCell="C1" sqref="C1"/>
      <selection pane="bottomLeft" activeCell="A5" sqref="A5"/>
      <selection pane="bottomRight" sqref="A1:N1"/>
    </sheetView>
  </sheetViews>
  <sheetFormatPr baseColWidth="10" defaultRowHeight="14.5" x14ac:dyDescent="0.35"/>
  <cols>
    <col min="1" max="1" width="25.6328125" customWidth="1"/>
    <col min="2" max="2" width="3.6328125" customWidth="1"/>
    <col min="3" max="3" width="14.6328125" customWidth="1"/>
    <col min="4" max="4" width="2.6328125" customWidth="1"/>
    <col min="5" max="5" width="14.6328125" customWidth="1"/>
    <col min="6" max="6" width="2.6328125" customWidth="1"/>
    <col min="7" max="7" width="14.6328125" customWidth="1"/>
    <col min="8" max="8" width="2.6328125" customWidth="1"/>
    <col min="9" max="9" width="14.6328125" customWidth="1"/>
    <col min="10" max="10" width="2.6328125" customWidth="1"/>
    <col min="11" max="11" width="14.6328125" customWidth="1"/>
    <col min="12" max="12" width="8.6328125" customWidth="1"/>
    <col min="13" max="13" width="18.6328125" customWidth="1"/>
    <col min="14" max="14" width="3.6328125" customWidth="1"/>
  </cols>
  <sheetData>
    <row r="1" spans="1:14" ht="35" customHeight="1" x14ac:dyDescent="0.35">
      <c r="A1" s="216" t="s">
        <v>139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</row>
    <row r="2" spans="1:14" ht="22" customHeight="1" x14ac:dyDescent="0.35">
      <c r="A2" s="136" t="s">
        <v>72</v>
      </c>
      <c r="B2" s="137" t="s">
        <v>197</v>
      </c>
      <c r="C2" s="6"/>
      <c r="D2" s="6"/>
      <c r="E2" s="6"/>
      <c r="F2" s="6"/>
      <c r="G2" s="6"/>
      <c r="H2" s="6"/>
      <c r="I2" s="6"/>
      <c r="J2" s="6"/>
      <c r="K2" s="135" t="s">
        <v>128</v>
      </c>
      <c r="L2" s="138">
        <v>46360</v>
      </c>
      <c r="M2" s="6"/>
      <c r="N2" s="6"/>
    </row>
    <row r="3" spans="1:14" ht="22" customHeight="1" x14ac:dyDescent="0.35">
      <c r="A3" s="139" t="s">
        <v>129</v>
      </c>
      <c r="B3" s="8"/>
      <c r="C3" s="139" t="s">
        <v>11</v>
      </c>
      <c r="D3" s="8"/>
      <c r="E3" s="139" t="s">
        <v>12</v>
      </c>
      <c r="F3" s="8"/>
      <c r="G3" s="139" t="s">
        <v>13</v>
      </c>
      <c r="H3" s="8"/>
      <c r="I3" s="139" t="s">
        <v>14</v>
      </c>
      <c r="J3" s="8"/>
      <c r="K3" s="139" t="s">
        <v>286</v>
      </c>
      <c r="L3" s="139" t="s">
        <v>131</v>
      </c>
      <c r="M3" s="139" t="s">
        <v>132</v>
      </c>
      <c r="N3" s="8"/>
    </row>
    <row r="4" spans="1:14" ht="20" customHeight="1" x14ac:dyDescent="0.35">
      <c r="A4" s="223" t="s">
        <v>140</v>
      </c>
      <c r="B4" s="220"/>
      <c r="C4" s="220"/>
      <c r="D4" s="220"/>
      <c r="E4" s="220"/>
      <c r="F4" s="220"/>
      <c r="G4" s="220"/>
      <c r="H4" s="220"/>
      <c r="I4" s="220"/>
      <c r="J4" s="220"/>
      <c r="K4" s="220"/>
      <c r="L4" s="220"/>
      <c r="M4" s="220"/>
      <c r="N4" s="220"/>
    </row>
    <row r="5" spans="1:14" ht="20" customHeight="1" x14ac:dyDescent="0.35">
      <c r="A5" s="224" t="s">
        <v>96</v>
      </c>
      <c r="B5" s="225"/>
      <c r="C5" s="126">
        <f>'RECAP GOUVERNANCE'!B4</f>
        <v>0.95238095238095233</v>
      </c>
      <c r="D5" s="127"/>
      <c r="E5" s="126">
        <f>'RECAP GOUVERNANCE'!C4</f>
        <v>0.95238095238095233</v>
      </c>
      <c r="F5" s="127"/>
      <c r="G5" s="126">
        <f>'RECAP GOUVERNANCE'!D4</f>
        <v>1</v>
      </c>
      <c r="H5" s="127"/>
      <c r="I5" s="126">
        <f>'RECAP GOUVERNANCE'!E4</f>
        <v>1</v>
      </c>
      <c r="J5" s="127"/>
      <c r="K5" s="58">
        <f t="shared" ref="K5:K14" si="0">IFERROR(I5-G5,"—")</f>
        <v>0</v>
      </c>
      <c r="L5" s="128" t="str">
        <f>'RECAP GOUVERNANCE'!H4</f>
        <v>V</v>
      </c>
      <c r="M5" s="226"/>
      <c r="N5" s="227"/>
    </row>
    <row r="6" spans="1:14" ht="20" customHeight="1" x14ac:dyDescent="0.35">
      <c r="A6" s="228" t="s">
        <v>97</v>
      </c>
      <c r="B6" s="229"/>
      <c r="C6" s="130">
        <f>'RECAP GOUVERNANCE'!B5</f>
        <v>0.375</v>
      </c>
      <c r="D6" s="131"/>
      <c r="E6" s="130">
        <f>'RECAP GOUVERNANCE'!C5</f>
        <v>0.5</v>
      </c>
      <c r="F6" s="131"/>
      <c r="G6" s="130">
        <f>'RECAP GOUVERNANCE'!D5</f>
        <v>0.5</v>
      </c>
      <c r="H6" s="131"/>
      <c r="I6" s="130">
        <f>'RECAP GOUVERNANCE'!E5</f>
        <v>0.5</v>
      </c>
      <c r="J6" s="131"/>
      <c r="K6" s="62">
        <f t="shared" si="0"/>
        <v>0</v>
      </c>
      <c r="L6" s="132" t="str">
        <f>'RECAP GOUVERNANCE'!H5</f>
        <v>R</v>
      </c>
      <c r="M6" s="226"/>
      <c r="N6" s="230"/>
    </row>
    <row r="7" spans="1:14" ht="20" customHeight="1" x14ac:dyDescent="0.35">
      <c r="A7" s="224" t="s">
        <v>98</v>
      </c>
      <c r="B7" s="225"/>
      <c r="C7" s="194">
        <f>'RECAP GOUVERNANCE'!B6</f>
        <v>0.3</v>
      </c>
      <c r="D7" s="127"/>
      <c r="E7" s="194">
        <f>'RECAP GOUVERNANCE'!C6</f>
        <v>0.3</v>
      </c>
      <c r="F7" s="127"/>
      <c r="G7" s="194">
        <f>'RECAP GOUVERNANCE'!D6</f>
        <v>0</v>
      </c>
      <c r="H7" s="127"/>
      <c r="I7" s="194">
        <f>'RECAP GOUVERNANCE'!E6</f>
        <v>0</v>
      </c>
      <c r="J7" s="127"/>
      <c r="K7" s="66">
        <f t="shared" si="0"/>
        <v>0</v>
      </c>
      <c r="L7" s="128" t="str">
        <f>'RECAP GOUVERNANCE'!H6</f>
        <v>—</v>
      </c>
      <c r="M7" s="226"/>
      <c r="N7" s="227"/>
    </row>
    <row r="8" spans="1:14" ht="20" customHeight="1" x14ac:dyDescent="0.35">
      <c r="A8" s="228" t="s">
        <v>141</v>
      </c>
      <c r="B8" s="229"/>
      <c r="C8" s="130">
        <f>'RECAP GOUVERNANCE'!B7</f>
        <v>1.2987012987012988E-2</v>
      </c>
      <c r="D8" s="131"/>
      <c r="E8" s="130">
        <f>'RECAP GOUVERNANCE'!C7</f>
        <v>1.2987012987012988E-2</v>
      </c>
      <c r="F8" s="131"/>
      <c r="G8" s="130">
        <f>'RECAP GOUVERNANCE'!D7</f>
        <v>1.2987012987012988E-2</v>
      </c>
      <c r="H8" s="131"/>
      <c r="I8" s="130">
        <f>'RECAP GOUVERNANCE'!E7</f>
        <v>1.2987012987012988E-2</v>
      </c>
      <c r="J8" s="131"/>
      <c r="K8" s="62">
        <f t="shared" si="0"/>
        <v>0</v>
      </c>
      <c r="L8" s="132" t="str">
        <f>'RECAP GOUVERNANCE'!H7</f>
        <v>—</v>
      </c>
      <c r="M8" s="226"/>
      <c r="N8" s="230"/>
    </row>
    <row r="9" spans="1:14" ht="20" customHeight="1" x14ac:dyDescent="0.35">
      <c r="A9" s="224" t="s">
        <v>142</v>
      </c>
      <c r="B9" s="225"/>
      <c r="C9" s="126">
        <f>'RECAP GOUVERNANCE'!B8</f>
        <v>1</v>
      </c>
      <c r="D9" s="127"/>
      <c r="E9" s="126">
        <f>'RECAP GOUVERNANCE'!C8</f>
        <v>1</v>
      </c>
      <c r="F9" s="127"/>
      <c r="G9" s="126">
        <f>'RECAP GOUVERNANCE'!D8</f>
        <v>0.35153583617747441</v>
      </c>
      <c r="H9" s="127"/>
      <c r="I9" s="126">
        <f>'RECAP GOUVERNANCE'!E8</f>
        <v>0.66894197952218426</v>
      </c>
      <c r="J9" s="127"/>
      <c r="K9" s="58">
        <f t="shared" si="0"/>
        <v>0.31740614334470985</v>
      </c>
      <c r="L9" s="128" t="str">
        <f>'RECAP GOUVERNANCE'!H8</f>
        <v>R</v>
      </c>
      <c r="M9" s="226"/>
      <c r="N9" s="227"/>
    </row>
    <row r="10" spans="1:14" ht="20" customHeight="1" x14ac:dyDescent="0.35">
      <c r="A10" s="228" t="s">
        <v>143</v>
      </c>
      <c r="B10" s="229"/>
      <c r="C10" s="134">
        <f>'RECAP GOUVERNANCE'!B9</f>
        <v>4</v>
      </c>
      <c r="D10" s="131"/>
      <c r="E10" s="134">
        <f>'RECAP GOUVERNANCE'!C9</f>
        <v>4</v>
      </c>
      <c r="F10" s="131"/>
      <c r="G10" s="134">
        <f>'RECAP GOUVERNANCE'!D9</f>
        <v>4</v>
      </c>
      <c r="H10" s="131"/>
      <c r="I10" s="134">
        <f>'RECAP GOUVERNANCE'!E9</f>
        <v>0</v>
      </c>
      <c r="J10" s="131"/>
      <c r="K10" s="69">
        <f t="shared" si="0"/>
        <v>-4</v>
      </c>
      <c r="L10" s="132" t="str">
        <f>'RECAP GOUVERNANCE'!H9</f>
        <v>—</v>
      </c>
      <c r="M10" s="226"/>
      <c r="N10" s="230"/>
    </row>
    <row r="11" spans="1:14" ht="20" customHeight="1" x14ac:dyDescent="0.35">
      <c r="A11" s="224" t="s">
        <v>134</v>
      </c>
      <c r="B11" s="225"/>
      <c r="C11" s="133">
        <f>'RECAP GOUVERNANCE'!B10</f>
        <v>0</v>
      </c>
      <c r="D11" s="127"/>
      <c r="E11" s="133">
        <f>'RECAP GOUVERNANCE'!C10</f>
        <v>0</v>
      </c>
      <c r="F11" s="127"/>
      <c r="G11" s="133">
        <f>'RECAP GOUVERNANCE'!D10</f>
        <v>0</v>
      </c>
      <c r="H11" s="127"/>
      <c r="I11" s="133">
        <f>'RECAP GOUVERNANCE'!E10</f>
        <v>0</v>
      </c>
      <c r="J11" s="127"/>
      <c r="K11" s="66">
        <f t="shared" si="0"/>
        <v>0</v>
      </c>
      <c r="L11" s="128" t="str">
        <f>'RECAP GOUVERNANCE'!H10</f>
        <v>—</v>
      </c>
      <c r="M11" s="226"/>
      <c r="N11" s="227"/>
    </row>
    <row r="12" spans="1:14" ht="20" customHeight="1" x14ac:dyDescent="0.35">
      <c r="A12" s="228" t="s">
        <v>144</v>
      </c>
      <c r="B12" s="229"/>
      <c r="C12" s="134">
        <f>'RECAP GOUVERNANCE'!B11</f>
        <v>0</v>
      </c>
      <c r="D12" s="131"/>
      <c r="E12" s="134">
        <f>'RECAP GOUVERNANCE'!C11</f>
        <v>0</v>
      </c>
      <c r="F12" s="131"/>
      <c r="G12" s="134">
        <f>'RECAP GOUVERNANCE'!D11</f>
        <v>0</v>
      </c>
      <c r="H12" s="131"/>
      <c r="I12" s="134">
        <f>'RECAP GOUVERNANCE'!E11</f>
        <v>0</v>
      </c>
      <c r="J12" s="131"/>
      <c r="K12" s="69">
        <f t="shared" si="0"/>
        <v>0</v>
      </c>
      <c r="L12" s="132" t="str">
        <f>'RECAP GOUVERNANCE'!H11</f>
        <v>—</v>
      </c>
      <c r="M12" s="226"/>
      <c r="N12" s="230"/>
    </row>
    <row r="13" spans="1:14" ht="20" customHeight="1" x14ac:dyDescent="0.35">
      <c r="A13" s="224" t="s">
        <v>145</v>
      </c>
      <c r="B13" s="225"/>
      <c r="C13" s="126">
        <f>'RECAP GOUVERNANCE'!B12</f>
        <v>0.36363636363636365</v>
      </c>
      <c r="D13" s="127"/>
      <c r="E13" s="126">
        <f>'RECAP GOUVERNANCE'!C12</f>
        <v>0.30000000000000004</v>
      </c>
      <c r="F13" s="127"/>
      <c r="G13" s="126">
        <f>'RECAP GOUVERNANCE'!D12</f>
        <v>0.30000000000000004</v>
      </c>
      <c r="H13" s="127"/>
      <c r="I13" s="126">
        <f>'RECAP GOUVERNANCE'!E12</f>
        <v>0.30000000000000004</v>
      </c>
      <c r="J13" s="127"/>
      <c r="K13" s="58">
        <f t="shared" si="0"/>
        <v>0</v>
      </c>
      <c r="L13" s="128" t="str">
        <f>'RECAP GOUVERNANCE'!H12</f>
        <v>R</v>
      </c>
      <c r="M13" s="226"/>
      <c r="N13" s="227"/>
    </row>
    <row r="14" spans="1:14" ht="20" customHeight="1" x14ac:dyDescent="0.35">
      <c r="A14" s="228" t="s">
        <v>146</v>
      </c>
      <c r="B14" s="229"/>
      <c r="C14" s="134">
        <f>'RECAP GOUVERNANCE'!B13</f>
        <v>0.9</v>
      </c>
      <c r="D14" s="131"/>
      <c r="E14" s="134">
        <f>'RECAP GOUVERNANCE'!C13</f>
        <v>0.9</v>
      </c>
      <c r="F14" s="131"/>
      <c r="G14" s="134">
        <f>'RECAP GOUVERNANCE'!D13</f>
        <v>0.9</v>
      </c>
      <c r="H14" s="131"/>
      <c r="I14" s="134">
        <f>'RECAP GOUVERNANCE'!E13</f>
        <v>0</v>
      </c>
      <c r="J14" s="131"/>
      <c r="K14" s="69">
        <f t="shared" si="0"/>
        <v>-0.9</v>
      </c>
      <c r="L14" s="132" t="str">
        <f>'RECAP GOUVERNANCE'!H13</f>
        <v>—</v>
      </c>
      <c r="M14" s="226"/>
      <c r="N14" s="230"/>
    </row>
    <row r="15" spans="1:14" ht="20" customHeight="1" x14ac:dyDescent="0.35">
      <c r="A15" s="223" t="s">
        <v>147</v>
      </c>
      <c r="B15" s="220"/>
      <c r="C15" s="220"/>
      <c r="D15" s="220"/>
      <c r="E15" s="220"/>
      <c r="F15" s="220"/>
      <c r="G15" s="220"/>
      <c r="H15" s="220"/>
      <c r="I15" s="220"/>
      <c r="J15" s="220"/>
      <c r="K15" s="220"/>
      <c r="L15" s="220"/>
      <c r="M15" s="220"/>
      <c r="N15" s="220"/>
    </row>
    <row r="16" spans="1:14" ht="20" customHeight="1" x14ac:dyDescent="0.35">
      <c r="A16" s="224" t="s">
        <v>148</v>
      </c>
      <c r="B16" s="225"/>
      <c r="C16" s="126" t="str">
        <f>'RECAP AML'!B4</f>
        <v>—</v>
      </c>
      <c r="D16" s="127"/>
      <c r="E16" s="126" t="str">
        <f>'RECAP AML'!C4</f>
        <v>—</v>
      </c>
      <c r="F16" s="127"/>
      <c r="G16" s="126" t="str">
        <f>'RECAP AML'!D4</f>
        <v>—</v>
      </c>
      <c r="H16" s="127"/>
      <c r="I16" s="126" t="str">
        <f>'RECAP AML'!E4</f>
        <v>—</v>
      </c>
      <c r="J16" s="127"/>
      <c r="K16" s="58" t="str">
        <f t="shared" ref="K16:K25" si="1">IFERROR(I16-G16,"—")</f>
        <v>—</v>
      </c>
      <c r="L16" s="128" t="str">
        <f>'RECAP AML'!H4</f>
        <v>V</v>
      </c>
      <c r="M16" s="226"/>
      <c r="N16" s="227"/>
    </row>
    <row r="17" spans="1:14" ht="20" customHeight="1" x14ac:dyDescent="0.35">
      <c r="A17" s="228" t="s">
        <v>149</v>
      </c>
      <c r="B17" s="229"/>
      <c r="C17" s="134">
        <f>'RECAP AML'!B5</f>
        <v>0</v>
      </c>
      <c r="D17" s="131"/>
      <c r="E17" s="134">
        <f>'RECAP AML'!C5</f>
        <v>0</v>
      </c>
      <c r="F17" s="131"/>
      <c r="G17" s="134">
        <f>'RECAP AML'!D5</f>
        <v>0</v>
      </c>
      <c r="H17" s="131"/>
      <c r="I17" s="134">
        <f>'RECAP AML'!E5</f>
        <v>0</v>
      </c>
      <c r="J17" s="131"/>
      <c r="K17" s="69">
        <f t="shared" si="1"/>
        <v>0</v>
      </c>
      <c r="L17" s="132" t="str">
        <f>'RECAP AML'!H5</f>
        <v>—</v>
      </c>
      <c r="M17" s="226"/>
      <c r="N17" s="230"/>
    </row>
    <row r="18" spans="1:14" ht="20" customHeight="1" x14ac:dyDescent="0.35">
      <c r="A18" s="224" t="s">
        <v>150</v>
      </c>
      <c r="B18" s="225"/>
      <c r="C18" s="126" t="str">
        <f>'RECAP AML'!B6</f>
        <v>—</v>
      </c>
      <c r="D18" s="127"/>
      <c r="E18" s="126" t="str">
        <f>'RECAP AML'!C6</f>
        <v>—</v>
      </c>
      <c r="F18" s="127"/>
      <c r="G18" s="126" t="str">
        <f>'RECAP AML'!D6</f>
        <v>—</v>
      </c>
      <c r="H18" s="127"/>
      <c r="I18" s="126" t="str">
        <f>'RECAP AML'!E6</f>
        <v>—</v>
      </c>
      <c r="J18" s="127"/>
      <c r="K18" s="58" t="str">
        <f t="shared" si="1"/>
        <v>—</v>
      </c>
      <c r="L18" s="128" t="str">
        <f>'RECAP AML'!H6</f>
        <v>V</v>
      </c>
      <c r="M18" s="226"/>
      <c r="N18" s="227"/>
    </row>
    <row r="19" spans="1:14" ht="20" customHeight="1" x14ac:dyDescent="0.35">
      <c r="A19" s="228" t="s">
        <v>151</v>
      </c>
      <c r="B19" s="229"/>
      <c r="C19" s="130">
        <f>'RECAP AML'!B7</f>
        <v>0</v>
      </c>
      <c r="D19" s="131"/>
      <c r="E19" s="130">
        <f>'RECAP AML'!C7</f>
        <v>0</v>
      </c>
      <c r="F19" s="131"/>
      <c r="G19" s="130">
        <f>'RECAP AML'!D7</f>
        <v>0</v>
      </c>
      <c r="H19" s="131"/>
      <c r="I19" s="130">
        <f>'RECAP AML'!E7</f>
        <v>0</v>
      </c>
      <c r="J19" s="131"/>
      <c r="K19" s="62">
        <f t="shared" si="1"/>
        <v>0</v>
      </c>
      <c r="L19" s="132" t="str">
        <f>'RECAP AML'!H7</f>
        <v>R</v>
      </c>
      <c r="M19" s="226"/>
      <c r="N19" s="230"/>
    </row>
    <row r="20" spans="1:14" ht="20" customHeight="1" x14ac:dyDescent="0.35">
      <c r="A20" s="224" t="s">
        <v>110</v>
      </c>
      <c r="B20" s="225"/>
      <c r="C20" s="133">
        <f>'RECAP AML'!B8</f>
        <v>0</v>
      </c>
      <c r="D20" s="127"/>
      <c r="E20" s="133">
        <f>'RECAP AML'!C8</f>
        <v>0</v>
      </c>
      <c r="F20" s="127"/>
      <c r="G20" s="133">
        <f>'RECAP AML'!D8</f>
        <v>0</v>
      </c>
      <c r="H20" s="127"/>
      <c r="I20" s="133">
        <f>'RECAP AML'!E8</f>
        <v>0</v>
      </c>
      <c r="J20" s="127"/>
      <c r="K20" s="66">
        <f t="shared" si="1"/>
        <v>0</v>
      </c>
      <c r="L20" s="128" t="str">
        <f>'RECAP AML'!H8</f>
        <v>—</v>
      </c>
      <c r="M20" s="226"/>
      <c r="N20" s="227"/>
    </row>
    <row r="21" spans="1:14" ht="20" customHeight="1" x14ac:dyDescent="0.35">
      <c r="A21" s="228" t="s">
        <v>111</v>
      </c>
      <c r="B21" s="229"/>
      <c r="C21" s="134">
        <f>'RECAP AML'!B9</f>
        <v>0</v>
      </c>
      <c r="D21" s="131"/>
      <c r="E21" s="134">
        <f>'RECAP AML'!C9</f>
        <v>0</v>
      </c>
      <c r="F21" s="131"/>
      <c r="G21" s="134">
        <f>'RECAP AML'!D9</f>
        <v>0</v>
      </c>
      <c r="H21" s="131"/>
      <c r="I21" s="134">
        <f>'RECAP AML'!E9</f>
        <v>0</v>
      </c>
      <c r="J21" s="131"/>
      <c r="K21" s="69">
        <f t="shared" si="1"/>
        <v>0</v>
      </c>
      <c r="L21" s="132" t="str">
        <f>'RECAP AML'!H9</f>
        <v>—</v>
      </c>
      <c r="M21" s="226"/>
      <c r="N21" s="230"/>
    </row>
    <row r="22" spans="1:14" ht="20" customHeight="1" x14ac:dyDescent="0.35">
      <c r="A22" s="224" t="s">
        <v>152</v>
      </c>
      <c r="B22" s="225"/>
      <c r="C22" s="133">
        <f>'RECAP AML'!B10</f>
        <v>0</v>
      </c>
      <c r="D22" s="127"/>
      <c r="E22" s="133">
        <f>'RECAP AML'!C10</f>
        <v>0</v>
      </c>
      <c r="F22" s="127"/>
      <c r="G22" s="133">
        <f>'RECAP AML'!D10</f>
        <v>0</v>
      </c>
      <c r="H22" s="127"/>
      <c r="I22" s="133">
        <f>'RECAP AML'!E10</f>
        <v>0</v>
      </c>
      <c r="J22" s="127"/>
      <c r="K22" s="66">
        <f t="shared" si="1"/>
        <v>0</v>
      </c>
      <c r="L22" s="128" t="str">
        <f>'RECAP AML'!H10</f>
        <v>—</v>
      </c>
      <c r="M22" s="226"/>
      <c r="N22" s="227"/>
    </row>
    <row r="23" spans="1:14" ht="20" customHeight="1" x14ac:dyDescent="0.35">
      <c r="A23" s="228" t="s">
        <v>153</v>
      </c>
      <c r="B23" s="229"/>
      <c r="C23" s="134">
        <f>'RECAP AML'!B11</f>
        <v>0</v>
      </c>
      <c r="D23" s="131"/>
      <c r="E23" s="134">
        <f>'RECAP AML'!C11</f>
        <v>0</v>
      </c>
      <c r="F23" s="131"/>
      <c r="G23" s="134">
        <f>'RECAP AML'!D11</f>
        <v>0</v>
      </c>
      <c r="H23" s="131"/>
      <c r="I23" s="134">
        <f>'RECAP AML'!E11</f>
        <v>0</v>
      </c>
      <c r="J23" s="131"/>
      <c r="K23" s="69">
        <f t="shared" si="1"/>
        <v>0</v>
      </c>
      <c r="L23" s="132" t="str">
        <f>'RECAP AML'!H11</f>
        <v>—</v>
      </c>
      <c r="M23" s="226"/>
      <c r="N23" s="230"/>
    </row>
    <row r="24" spans="1:14" ht="20" customHeight="1" x14ac:dyDescent="0.35">
      <c r="A24" s="224" t="s">
        <v>154</v>
      </c>
      <c r="B24" s="225"/>
      <c r="C24" s="133">
        <f>'RECAP AML'!B12</f>
        <v>0</v>
      </c>
      <c r="D24" s="127"/>
      <c r="E24" s="133">
        <f>'RECAP AML'!C12</f>
        <v>0</v>
      </c>
      <c r="F24" s="127"/>
      <c r="G24" s="133">
        <f>'RECAP AML'!D12</f>
        <v>0</v>
      </c>
      <c r="H24" s="127"/>
      <c r="I24" s="133">
        <f>'RECAP AML'!E12</f>
        <v>0</v>
      </c>
      <c r="J24" s="127"/>
      <c r="K24" s="66">
        <f t="shared" si="1"/>
        <v>0</v>
      </c>
      <c r="L24" s="128" t="str">
        <f>'RECAP AML'!H12</f>
        <v>—</v>
      </c>
      <c r="M24" s="226"/>
      <c r="N24" s="227"/>
    </row>
    <row r="25" spans="1:14" ht="20" customHeight="1" x14ac:dyDescent="0.35">
      <c r="A25" s="228" t="s">
        <v>155</v>
      </c>
      <c r="B25" s="229"/>
      <c r="C25" s="130">
        <f>'RECAP AML'!B13</f>
        <v>1</v>
      </c>
      <c r="D25" s="131"/>
      <c r="E25" s="130">
        <f>'RECAP AML'!C13</f>
        <v>1</v>
      </c>
      <c r="F25" s="131"/>
      <c r="G25" s="130">
        <f>'RECAP AML'!D13</f>
        <v>1</v>
      </c>
      <c r="H25" s="131"/>
      <c r="I25" s="130">
        <f>'RECAP AML'!E13</f>
        <v>1</v>
      </c>
      <c r="J25" s="131"/>
      <c r="K25" s="62">
        <f t="shared" si="1"/>
        <v>0</v>
      </c>
      <c r="L25" s="132" t="str">
        <f>'RECAP AML'!H13</f>
        <v>—</v>
      </c>
      <c r="M25" s="226"/>
      <c r="N25" s="230"/>
    </row>
    <row r="26" spans="1:14" ht="20" customHeight="1" x14ac:dyDescent="0.35">
      <c r="A26" s="223" t="s">
        <v>156</v>
      </c>
      <c r="B26" s="220"/>
      <c r="C26" s="220"/>
      <c r="D26" s="220"/>
      <c r="E26" s="220"/>
      <c r="F26" s="220"/>
      <c r="G26" s="220"/>
      <c r="H26" s="220"/>
      <c r="I26" s="220"/>
      <c r="J26" s="220"/>
      <c r="K26" s="220"/>
      <c r="L26" s="220"/>
      <c r="M26" s="220"/>
      <c r="N26" s="220"/>
    </row>
    <row r="27" spans="1:14" ht="20" customHeight="1" x14ac:dyDescent="0.35">
      <c r="A27" s="224" t="s">
        <v>155</v>
      </c>
      <c r="B27" s="225"/>
      <c r="C27" s="126">
        <f>'RECAP SANCTIONS'!B4</f>
        <v>1</v>
      </c>
      <c r="D27" s="127"/>
      <c r="E27" s="126">
        <f>'RECAP SANCTIONS'!C4</f>
        <v>1</v>
      </c>
      <c r="F27" s="127"/>
      <c r="G27" s="126">
        <f>'RECAP SANCTIONS'!D4</f>
        <v>1</v>
      </c>
      <c r="H27" s="127"/>
      <c r="I27" s="126">
        <f>'RECAP SANCTIONS'!E4</f>
        <v>1</v>
      </c>
      <c r="J27" s="127"/>
      <c r="K27" s="58">
        <f t="shared" ref="K27:K37" si="2">IFERROR(I27-G27,"—")</f>
        <v>0</v>
      </c>
      <c r="L27" s="128" t="str">
        <f>'RECAP SANCTIONS'!H4</f>
        <v>—</v>
      </c>
      <c r="M27" s="226"/>
      <c r="N27" s="227"/>
    </row>
    <row r="28" spans="1:14" ht="20" customHeight="1" x14ac:dyDescent="0.35">
      <c r="A28" s="228" t="s">
        <v>116</v>
      </c>
      <c r="B28" s="229"/>
      <c r="C28" s="134">
        <f>'RECAP SANCTIONS'!B5</f>
        <v>0</v>
      </c>
      <c r="D28" s="131"/>
      <c r="E28" s="134">
        <f>'RECAP SANCTIONS'!C5</f>
        <v>0</v>
      </c>
      <c r="F28" s="131"/>
      <c r="G28" s="134">
        <f>'RECAP SANCTIONS'!D5</f>
        <v>0</v>
      </c>
      <c r="H28" s="131"/>
      <c r="I28" s="134">
        <f>'RECAP SANCTIONS'!E5</f>
        <v>0</v>
      </c>
      <c r="J28" s="131"/>
      <c r="K28" s="69">
        <f t="shared" si="2"/>
        <v>0</v>
      </c>
      <c r="L28" s="132" t="str">
        <f>'RECAP SANCTIONS'!H5</f>
        <v>—</v>
      </c>
      <c r="M28" s="226"/>
      <c r="N28" s="230"/>
    </row>
    <row r="29" spans="1:14" ht="20" customHeight="1" x14ac:dyDescent="0.35">
      <c r="A29" s="224" t="s">
        <v>157</v>
      </c>
      <c r="B29" s="225"/>
      <c r="C29" s="133">
        <f>'RECAP SANCTIONS'!B6</f>
        <v>0</v>
      </c>
      <c r="D29" s="127"/>
      <c r="E29" s="133">
        <f>'RECAP SANCTIONS'!C6</f>
        <v>0</v>
      </c>
      <c r="F29" s="127"/>
      <c r="G29" s="133">
        <f>'RECAP SANCTIONS'!D6</f>
        <v>0</v>
      </c>
      <c r="H29" s="127"/>
      <c r="I29" s="133">
        <f>'RECAP SANCTIONS'!E6</f>
        <v>0</v>
      </c>
      <c r="J29" s="127"/>
      <c r="K29" s="66">
        <f t="shared" si="2"/>
        <v>0</v>
      </c>
      <c r="L29" s="128" t="str">
        <f>'RECAP SANCTIONS'!H6</f>
        <v>—</v>
      </c>
      <c r="M29" s="226"/>
      <c r="N29" s="227"/>
    </row>
    <row r="30" spans="1:14" ht="20" customHeight="1" x14ac:dyDescent="0.35">
      <c r="A30" s="228" t="s">
        <v>158</v>
      </c>
      <c r="B30" s="229"/>
      <c r="C30" s="134">
        <f>'RECAP SANCTIONS'!B7</f>
        <v>0</v>
      </c>
      <c r="D30" s="131"/>
      <c r="E30" s="134">
        <f>'RECAP SANCTIONS'!C7</f>
        <v>0</v>
      </c>
      <c r="F30" s="131"/>
      <c r="G30" s="134">
        <f>'RECAP SANCTIONS'!D7</f>
        <v>0</v>
      </c>
      <c r="H30" s="131"/>
      <c r="I30" s="134">
        <f>'RECAP SANCTIONS'!E7</f>
        <v>0</v>
      </c>
      <c r="J30" s="131"/>
      <c r="K30" s="69">
        <f t="shared" si="2"/>
        <v>0</v>
      </c>
      <c r="L30" s="132" t="str">
        <f>'RECAP SANCTIONS'!H7</f>
        <v>—</v>
      </c>
      <c r="M30" s="226"/>
      <c r="N30" s="230"/>
    </row>
    <row r="31" spans="1:14" ht="20" customHeight="1" x14ac:dyDescent="0.35">
      <c r="A31" s="224" t="s">
        <v>159</v>
      </c>
      <c r="B31" s="225"/>
      <c r="C31" s="133">
        <f>'RECAP SANCTIONS'!B8</f>
        <v>0</v>
      </c>
      <c r="D31" s="127"/>
      <c r="E31" s="133">
        <f>'RECAP SANCTIONS'!C8</f>
        <v>0</v>
      </c>
      <c r="F31" s="127"/>
      <c r="G31" s="133">
        <f>'RECAP SANCTIONS'!D8</f>
        <v>0</v>
      </c>
      <c r="H31" s="127"/>
      <c r="I31" s="133">
        <f>'RECAP SANCTIONS'!E8</f>
        <v>0</v>
      </c>
      <c r="J31" s="127"/>
      <c r="K31" s="66">
        <f t="shared" si="2"/>
        <v>0</v>
      </c>
      <c r="L31" s="128" t="str">
        <f>'RECAP SANCTIONS'!H8</f>
        <v>—</v>
      </c>
      <c r="M31" s="226"/>
      <c r="N31" s="227"/>
    </row>
    <row r="32" spans="1:14" ht="20" customHeight="1" x14ac:dyDescent="0.35">
      <c r="A32" s="228" t="s">
        <v>160</v>
      </c>
      <c r="B32" s="229"/>
      <c r="C32" s="134">
        <f>'RECAP SANCTIONS'!B9</f>
        <v>0</v>
      </c>
      <c r="D32" s="131"/>
      <c r="E32" s="134">
        <f>'RECAP SANCTIONS'!C9</f>
        <v>0</v>
      </c>
      <c r="F32" s="131"/>
      <c r="G32" s="134">
        <f>'RECAP SANCTIONS'!D9</f>
        <v>0</v>
      </c>
      <c r="H32" s="131"/>
      <c r="I32" s="134">
        <f>'RECAP SANCTIONS'!E9</f>
        <v>0</v>
      </c>
      <c r="J32" s="131"/>
      <c r="K32" s="69">
        <f t="shared" si="2"/>
        <v>0</v>
      </c>
      <c r="L32" s="132" t="str">
        <f>'RECAP SANCTIONS'!H9</f>
        <v>—</v>
      </c>
      <c r="M32" s="226"/>
      <c r="N32" s="230"/>
    </row>
    <row r="33" spans="1:14" ht="20" customHeight="1" x14ac:dyDescent="0.35">
      <c r="A33" s="224" t="s">
        <v>161</v>
      </c>
      <c r="B33" s="225"/>
      <c r="C33" s="126" t="str">
        <f>'RECAP SANCTIONS'!B10</f>
        <v>—</v>
      </c>
      <c r="D33" s="127"/>
      <c r="E33" s="126" t="str">
        <f>'RECAP SANCTIONS'!C10</f>
        <v>—</v>
      </c>
      <c r="F33" s="127"/>
      <c r="G33" s="126" t="str">
        <f>'RECAP SANCTIONS'!D10</f>
        <v>—</v>
      </c>
      <c r="H33" s="127"/>
      <c r="I33" s="126" t="str">
        <f>'RECAP SANCTIONS'!E10</f>
        <v>—</v>
      </c>
      <c r="J33" s="127"/>
      <c r="K33" s="58" t="str">
        <f t="shared" si="2"/>
        <v>—</v>
      </c>
      <c r="L33" s="128" t="str">
        <f>'RECAP SANCTIONS'!H10</f>
        <v>—</v>
      </c>
      <c r="M33" s="226"/>
      <c r="N33" s="227"/>
    </row>
    <row r="34" spans="1:14" ht="20" customHeight="1" x14ac:dyDescent="0.35">
      <c r="A34" s="228" t="s">
        <v>162</v>
      </c>
      <c r="B34" s="229"/>
      <c r="C34" s="134">
        <f>'RECAP SANCTIONS'!B11</f>
        <v>0</v>
      </c>
      <c r="D34" s="131"/>
      <c r="E34" s="134">
        <f>'RECAP SANCTIONS'!C11</f>
        <v>0</v>
      </c>
      <c r="F34" s="131"/>
      <c r="G34" s="134">
        <f>'RECAP SANCTIONS'!D11</f>
        <v>0</v>
      </c>
      <c r="H34" s="131"/>
      <c r="I34" s="134">
        <f>'RECAP SANCTIONS'!E11</f>
        <v>0</v>
      </c>
      <c r="J34" s="131"/>
      <c r="K34" s="69">
        <f t="shared" si="2"/>
        <v>0</v>
      </c>
      <c r="L34" s="132" t="str">
        <f>'RECAP SANCTIONS'!H11</f>
        <v>—</v>
      </c>
      <c r="M34" s="226"/>
      <c r="N34" s="230"/>
    </row>
    <row r="35" spans="1:14" ht="20" customHeight="1" x14ac:dyDescent="0.35">
      <c r="A35" s="224" t="s">
        <v>123</v>
      </c>
      <c r="B35" s="225"/>
      <c r="C35" s="133">
        <f>'RECAP SANCTIONS'!B12</f>
        <v>0</v>
      </c>
      <c r="D35" s="127"/>
      <c r="E35" s="133">
        <f>'RECAP SANCTIONS'!C12</f>
        <v>0</v>
      </c>
      <c r="F35" s="127"/>
      <c r="G35" s="133">
        <f>'RECAP SANCTIONS'!D12</f>
        <v>0</v>
      </c>
      <c r="H35" s="127"/>
      <c r="I35" s="133">
        <f>'RECAP SANCTIONS'!E12</f>
        <v>0</v>
      </c>
      <c r="J35" s="127"/>
      <c r="K35" s="66">
        <f t="shared" si="2"/>
        <v>0</v>
      </c>
      <c r="L35" s="128" t="str">
        <f>'RECAP SANCTIONS'!H12</f>
        <v>—</v>
      </c>
      <c r="M35" s="226"/>
      <c r="N35" s="227"/>
    </row>
    <row r="36" spans="1:14" ht="20" customHeight="1" x14ac:dyDescent="0.35">
      <c r="A36" s="228" t="s">
        <v>163</v>
      </c>
      <c r="B36" s="229"/>
      <c r="C36" s="134">
        <f>'RECAP SANCTIONS'!B13</f>
        <v>0</v>
      </c>
      <c r="D36" s="131"/>
      <c r="E36" s="134">
        <f>'RECAP SANCTIONS'!C13</f>
        <v>0</v>
      </c>
      <c r="F36" s="131"/>
      <c r="G36" s="134">
        <f>'RECAP SANCTIONS'!D13</f>
        <v>0</v>
      </c>
      <c r="H36" s="131"/>
      <c r="I36" s="134">
        <f>'RECAP SANCTIONS'!E13</f>
        <v>0</v>
      </c>
      <c r="J36" s="131"/>
      <c r="K36" s="69">
        <f t="shared" si="2"/>
        <v>0</v>
      </c>
      <c r="L36" s="132" t="str">
        <f>'RECAP SANCTIONS'!H13</f>
        <v>—</v>
      </c>
      <c r="M36" s="226"/>
      <c r="N36" s="230"/>
    </row>
    <row r="37" spans="1:14" ht="20" customHeight="1" x14ac:dyDescent="0.35">
      <c r="A37" s="224" t="s">
        <v>164</v>
      </c>
      <c r="B37" s="225"/>
      <c r="C37" s="133">
        <f>'RECAP SANCTIONS'!B14</f>
        <v>0</v>
      </c>
      <c r="D37" s="127"/>
      <c r="E37" s="133">
        <f>'RECAP SANCTIONS'!C14</f>
        <v>0</v>
      </c>
      <c r="F37" s="127"/>
      <c r="G37" s="133">
        <f>'RECAP SANCTIONS'!D14</f>
        <v>0</v>
      </c>
      <c r="H37" s="127"/>
      <c r="I37" s="133">
        <f>'RECAP SANCTIONS'!E14</f>
        <v>0</v>
      </c>
      <c r="J37" s="127"/>
      <c r="K37" s="66">
        <f t="shared" si="2"/>
        <v>0</v>
      </c>
      <c r="L37" s="128" t="str">
        <f>'RECAP SANCTIONS'!H14</f>
        <v>—</v>
      </c>
      <c r="M37" s="226"/>
      <c r="N37" s="227"/>
    </row>
  </sheetData>
  <mergeCells count="66">
    <mergeCell ref="A36:B36"/>
    <mergeCell ref="M36:N36"/>
    <mergeCell ref="A37:B37"/>
    <mergeCell ref="M37:N37"/>
    <mergeCell ref="A33:B33"/>
    <mergeCell ref="M33:N33"/>
    <mergeCell ref="A34:B34"/>
    <mergeCell ref="M34:N34"/>
    <mergeCell ref="A35:B35"/>
    <mergeCell ref="M35:N35"/>
    <mergeCell ref="A30:B30"/>
    <mergeCell ref="M30:N30"/>
    <mergeCell ref="A31:B31"/>
    <mergeCell ref="M31:N31"/>
    <mergeCell ref="A32:B32"/>
    <mergeCell ref="M32:N32"/>
    <mergeCell ref="A29:B29"/>
    <mergeCell ref="M29:N29"/>
    <mergeCell ref="A23:B23"/>
    <mergeCell ref="M23:N23"/>
    <mergeCell ref="A24:B24"/>
    <mergeCell ref="M24:N24"/>
    <mergeCell ref="A25:B25"/>
    <mergeCell ref="M25:N25"/>
    <mergeCell ref="A26:N26"/>
    <mergeCell ref="A27:B27"/>
    <mergeCell ref="M27:N27"/>
    <mergeCell ref="A28:B28"/>
    <mergeCell ref="M28:N28"/>
    <mergeCell ref="A20:B20"/>
    <mergeCell ref="M20:N20"/>
    <mergeCell ref="A21:B21"/>
    <mergeCell ref="M21:N21"/>
    <mergeCell ref="A22:B22"/>
    <mergeCell ref="M22:N22"/>
    <mergeCell ref="A17:B17"/>
    <mergeCell ref="M17:N17"/>
    <mergeCell ref="A18:B18"/>
    <mergeCell ref="M18:N18"/>
    <mergeCell ref="A19:B19"/>
    <mergeCell ref="M19:N19"/>
    <mergeCell ref="A16:B16"/>
    <mergeCell ref="M16:N16"/>
    <mergeCell ref="A10:B10"/>
    <mergeCell ref="M10:N10"/>
    <mergeCell ref="A11:B11"/>
    <mergeCell ref="M11:N11"/>
    <mergeCell ref="A12:B12"/>
    <mergeCell ref="M12:N12"/>
    <mergeCell ref="A13:B13"/>
    <mergeCell ref="M13:N13"/>
    <mergeCell ref="A14:B14"/>
    <mergeCell ref="M14:N14"/>
    <mergeCell ref="A15:N15"/>
    <mergeCell ref="A7:B7"/>
    <mergeCell ref="M7:N7"/>
    <mergeCell ref="A8:B8"/>
    <mergeCell ref="M8:N8"/>
    <mergeCell ref="A9:B9"/>
    <mergeCell ref="M9:N9"/>
    <mergeCell ref="A1:N1"/>
    <mergeCell ref="A4:N4"/>
    <mergeCell ref="A5:B5"/>
    <mergeCell ref="M5:N5"/>
    <mergeCell ref="A6:B6"/>
    <mergeCell ref="M6:N6"/>
  </mergeCells>
  <conditionalFormatting sqref="L5:L38">
    <cfRule type="cellIs" dxfId="22" priority="1" stopIfTrue="1" operator="equal">
      <formula>"""V"""</formula>
    </cfRule>
    <cfRule type="cellIs" dxfId="21" priority="2" stopIfTrue="1" operator="equal">
      <formula>"""O"""</formula>
    </cfRule>
    <cfRule type="cellIs" dxfId="20" priority="3" stopIfTrue="1" operator="equal">
      <formula>"""R"""</formula>
    </cfRule>
  </conditionalFormatting>
  <conditionalFormatting sqref="K5:K38">
    <cfRule type="cellIs" dxfId="19" priority="4" stopIfTrue="1" operator="greaterThan">
      <formula>0</formula>
    </cfRule>
    <cfRule type="cellIs" dxfId="18" priority="5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38</xdr:row>
                    <xdr:rowOff>25400</xdr:rowOff>
                  </from>
                  <to>
                    <xdr:col>1</xdr:col>
                    <xdr:colOff>114300</xdr:colOff>
                    <xdr:row>39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4990-A2A2-4144-B36F-9FBA04DE664C}">
  <sheetPr codeName="Feuil15"/>
  <dimension ref="A1:K13"/>
  <sheetViews>
    <sheetView showGridLines="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6" sqref="B6:E6"/>
    </sheetView>
  </sheetViews>
  <sheetFormatPr baseColWidth="10" defaultRowHeight="14.5" x14ac:dyDescent="0.35"/>
  <cols>
    <col min="1" max="1" width="35.6328125" customWidth="1"/>
    <col min="2" max="5" width="12.6328125" customWidth="1"/>
    <col min="6" max="6" width="16.6328125" customWidth="1"/>
    <col min="7" max="7" width="10.6328125" customWidth="1"/>
    <col min="8" max="8" width="8.6328125" customWidth="1"/>
    <col min="9" max="10" width="12.6328125" customWidth="1"/>
    <col min="11" max="11" width="30.6328125" customWidth="1"/>
  </cols>
  <sheetData>
    <row r="1" spans="1:11" ht="35" customHeight="1" x14ac:dyDescent="0.35">
      <c r="A1" s="231" t="s">
        <v>127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</row>
    <row r="2" spans="1:11" ht="22" customHeight="1" x14ac:dyDescent="0.35">
      <c r="A2" s="10" t="s">
        <v>72</v>
      </c>
      <c r="B2" s="11" t="s">
        <v>197</v>
      </c>
      <c r="I2" s="9" t="s">
        <v>128</v>
      </c>
      <c r="J2" s="56">
        <v>46360</v>
      </c>
    </row>
    <row r="3" spans="1:11" ht="40" customHeight="1" thickBot="1" x14ac:dyDescent="0.4">
      <c r="A3" s="82" t="s">
        <v>129</v>
      </c>
      <c r="B3" s="76" t="s">
        <v>11</v>
      </c>
      <c r="C3" s="75" t="s">
        <v>12</v>
      </c>
      <c r="D3" s="75" t="s">
        <v>13</v>
      </c>
      <c r="E3" s="75" t="s">
        <v>14</v>
      </c>
      <c r="F3" s="75" t="s">
        <v>286</v>
      </c>
      <c r="G3" s="75" t="s">
        <v>130</v>
      </c>
      <c r="H3" s="75" t="s">
        <v>131</v>
      </c>
      <c r="I3" s="75" t="s">
        <v>285</v>
      </c>
      <c r="J3" s="98" t="s">
        <v>287</v>
      </c>
      <c r="K3" s="82" t="s">
        <v>132</v>
      </c>
    </row>
    <row r="4" spans="1:11" ht="22" customHeight="1" x14ac:dyDescent="0.35">
      <c r="A4" s="83" t="s">
        <v>96</v>
      </c>
      <c r="B4" s="77">
        <f>'INDICATEURS HIST'!B16</f>
        <v>0.95238095238095233</v>
      </c>
      <c r="C4" s="71">
        <f>'INDICATEURS HIST'!B17</f>
        <v>0.95238095238095233</v>
      </c>
      <c r="D4" s="71">
        <f>'INDICATEURS HIST'!B18</f>
        <v>1</v>
      </c>
      <c r="E4" s="71">
        <f>'INDICATEURS HIST'!B19</f>
        <v>1</v>
      </c>
      <c r="F4" s="72">
        <f t="shared" ref="F4:F13" si="0">IFERROR(E4-D4,"—")</f>
        <v>0</v>
      </c>
      <c r="G4" s="73">
        <v>0.95</v>
      </c>
      <c r="H4" s="74" t="str">
        <f>IF(E4&gt;=0.95,"V",IF(E4&gt;=0.8,"O","R"))</f>
        <v>V</v>
      </c>
      <c r="I4" s="71">
        <f t="shared" ref="I4:I13" si="1">D4</f>
        <v>1</v>
      </c>
      <c r="J4" s="99">
        <f t="shared" ref="J4:J13" si="2">E4</f>
        <v>1</v>
      </c>
      <c r="K4" s="106"/>
    </row>
    <row r="5" spans="1:11" ht="22" customHeight="1" x14ac:dyDescent="0.35">
      <c r="A5" s="84" t="s">
        <v>97</v>
      </c>
      <c r="B5" s="78">
        <f>'INDICATEURS HIST'!C16</f>
        <v>0.375</v>
      </c>
      <c r="C5" s="61">
        <f>'INDICATEURS HIST'!C17</f>
        <v>0.5</v>
      </c>
      <c r="D5" s="61">
        <f>'INDICATEURS HIST'!C18</f>
        <v>0.5</v>
      </c>
      <c r="E5" s="61">
        <f>'INDICATEURS HIST'!C19</f>
        <v>0.5</v>
      </c>
      <c r="F5" s="62">
        <f t="shared" si="0"/>
        <v>0</v>
      </c>
      <c r="G5" s="63">
        <v>0.98</v>
      </c>
      <c r="H5" s="64" t="str">
        <f>IF(E5&gt;=0.95,"V",IF(E5&gt;=0.8,"O","R"))</f>
        <v>R</v>
      </c>
      <c r="I5" s="61">
        <f t="shared" si="1"/>
        <v>0.5</v>
      </c>
      <c r="J5" s="100">
        <f t="shared" si="2"/>
        <v>0.5</v>
      </c>
      <c r="K5" s="107"/>
    </row>
    <row r="6" spans="1:11" ht="22" customHeight="1" x14ac:dyDescent="0.35">
      <c r="A6" s="85" t="s">
        <v>98</v>
      </c>
      <c r="B6" s="195">
        <f>'INDICATEURS HIST'!D16</f>
        <v>0.3</v>
      </c>
      <c r="C6" s="196">
        <f>'INDICATEURS HIST'!D17</f>
        <v>0.3</v>
      </c>
      <c r="D6" s="196">
        <f>'INDICATEURS HIST'!D18</f>
        <v>0</v>
      </c>
      <c r="E6" s="196">
        <f>'INDICATEURS HIST'!D19</f>
        <v>0</v>
      </c>
      <c r="F6" s="66">
        <f t="shared" si="0"/>
        <v>0</v>
      </c>
      <c r="G6" s="59">
        <v>0.99</v>
      </c>
      <c r="H6" s="60" t="s">
        <v>133</v>
      </c>
      <c r="I6" s="65">
        <f t="shared" si="1"/>
        <v>0</v>
      </c>
      <c r="J6" s="101">
        <f t="shared" si="2"/>
        <v>0</v>
      </c>
      <c r="K6" s="107"/>
    </row>
    <row r="7" spans="1:11" ht="22" customHeight="1" x14ac:dyDescent="0.35">
      <c r="A7" s="84" t="s">
        <v>99</v>
      </c>
      <c r="B7" s="78">
        <f>'INDICATEURS HIST'!E16</f>
        <v>1.2987012987012988E-2</v>
      </c>
      <c r="C7" s="61">
        <f>'INDICATEURS HIST'!E17</f>
        <v>1.2987012987012988E-2</v>
      </c>
      <c r="D7" s="61">
        <f>'INDICATEURS HIST'!E18</f>
        <v>1.2987012987012988E-2</v>
      </c>
      <c r="E7" s="61">
        <f>'INDICATEURS HIST'!E19</f>
        <v>1.2987012987012988E-2</v>
      </c>
      <c r="F7" s="62">
        <f t="shared" si="0"/>
        <v>0</v>
      </c>
      <c r="G7" s="67"/>
      <c r="H7" s="64" t="s">
        <v>133</v>
      </c>
      <c r="I7" s="61">
        <f t="shared" si="1"/>
        <v>1.2987012987012988E-2</v>
      </c>
      <c r="J7" s="100">
        <f t="shared" si="2"/>
        <v>1.2987012987012988E-2</v>
      </c>
      <c r="K7" s="107"/>
    </row>
    <row r="8" spans="1:11" ht="22" customHeight="1" x14ac:dyDescent="0.35">
      <c r="A8" s="85" t="s">
        <v>100</v>
      </c>
      <c r="B8" s="80">
        <f>'INDICATEURS HIST'!F16</f>
        <v>1</v>
      </c>
      <c r="C8" s="57">
        <f>'INDICATEURS HIST'!F17</f>
        <v>1</v>
      </c>
      <c r="D8" s="57">
        <f>'INDICATEURS HIST'!F18</f>
        <v>0.35153583617747441</v>
      </c>
      <c r="E8" s="57">
        <f>'INDICATEURS HIST'!F19</f>
        <v>0.66894197952218426</v>
      </c>
      <c r="F8" s="58">
        <f t="shared" si="0"/>
        <v>0.31740614334470985</v>
      </c>
      <c r="G8" s="59">
        <v>1</v>
      </c>
      <c r="H8" s="60" t="str">
        <f>IF(E8&gt;=0.95,"V",IF(E8&gt;=0.8,"O","R"))</f>
        <v>R</v>
      </c>
      <c r="I8" s="57">
        <f t="shared" si="1"/>
        <v>0.35153583617747441</v>
      </c>
      <c r="J8" s="102">
        <f t="shared" si="2"/>
        <v>0.66894197952218426</v>
      </c>
      <c r="K8" s="107"/>
    </row>
    <row r="9" spans="1:11" ht="22" customHeight="1" x14ac:dyDescent="0.35">
      <c r="A9" s="84" t="s">
        <v>101</v>
      </c>
      <c r="B9" s="81">
        <f>'INDICATEURS HIST'!G16</f>
        <v>4</v>
      </c>
      <c r="C9" s="68">
        <f>'INDICATEURS HIST'!G17</f>
        <v>4</v>
      </c>
      <c r="D9" s="68">
        <f>'INDICATEURS HIST'!G18</f>
        <v>4</v>
      </c>
      <c r="E9" s="68">
        <f>'INDICATEURS HIST'!G19</f>
        <v>0</v>
      </c>
      <c r="F9" s="69">
        <f t="shared" si="0"/>
        <v>-4</v>
      </c>
      <c r="G9" s="67">
        <v>0</v>
      </c>
      <c r="H9" s="64" t="s">
        <v>133</v>
      </c>
      <c r="I9" s="68">
        <f t="shared" si="1"/>
        <v>4</v>
      </c>
      <c r="J9" s="103">
        <f t="shared" si="2"/>
        <v>0</v>
      </c>
      <c r="K9" s="107"/>
    </row>
    <row r="10" spans="1:11" ht="22" customHeight="1" x14ac:dyDescent="0.35">
      <c r="A10" s="85" t="s">
        <v>134</v>
      </c>
      <c r="B10" s="79">
        <f>'INDICATEURS HIST'!H16</f>
        <v>0</v>
      </c>
      <c r="C10" s="65">
        <f>'INDICATEURS HIST'!H17</f>
        <v>0</v>
      </c>
      <c r="D10" s="65">
        <f>'INDICATEURS HIST'!H18</f>
        <v>0</v>
      </c>
      <c r="E10" s="65">
        <f>'INDICATEURS HIST'!H19</f>
        <v>0</v>
      </c>
      <c r="F10" s="66">
        <f t="shared" si="0"/>
        <v>0</v>
      </c>
      <c r="G10" s="70">
        <v>0</v>
      </c>
      <c r="H10" s="60" t="s">
        <v>133</v>
      </c>
      <c r="I10" s="65">
        <f t="shared" si="1"/>
        <v>0</v>
      </c>
      <c r="J10" s="101">
        <f t="shared" si="2"/>
        <v>0</v>
      </c>
      <c r="K10" s="107"/>
    </row>
    <row r="11" spans="1:11" ht="22" customHeight="1" x14ac:dyDescent="0.35">
      <c r="A11" s="84" t="s">
        <v>103</v>
      </c>
      <c r="B11" s="81">
        <f>'INDICATEURS HIST'!I16</f>
        <v>0</v>
      </c>
      <c r="C11" s="68">
        <f>'INDICATEURS HIST'!I17</f>
        <v>0</v>
      </c>
      <c r="D11" s="68">
        <f>'INDICATEURS HIST'!I18</f>
        <v>0</v>
      </c>
      <c r="E11" s="68">
        <f>'INDICATEURS HIST'!I19</f>
        <v>0</v>
      </c>
      <c r="F11" s="69">
        <f t="shared" si="0"/>
        <v>0</v>
      </c>
      <c r="G11" s="67">
        <v>0</v>
      </c>
      <c r="H11" s="64" t="s">
        <v>133</v>
      </c>
      <c r="I11" s="68">
        <f t="shared" si="1"/>
        <v>0</v>
      </c>
      <c r="J11" s="103">
        <f t="shared" si="2"/>
        <v>0</v>
      </c>
      <c r="K11" s="107"/>
    </row>
    <row r="12" spans="1:11" ht="22" customHeight="1" x14ac:dyDescent="0.35">
      <c r="A12" s="86" t="s">
        <v>104</v>
      </c>
      <c r="B12" s="87">
        <f>'INDICATEURS HIST'!J16</f>
        <v>0.36363636363636365</v>
      </c>
      <c r="C12" s="88">
        <f>'INDICATEURS HIST'!J17</f>
        <v>0.30000000000000004</v>
      </c>
      <c r="D12" s="88">
        <f>'INDICATEURS HIST'!J18</f>
        <v>0.30000000000000004</v>
      </c>
      <c r="E12" s="88">
        <f>'INDICATEURS HIST'!J19</f>
        <v>0.30000000000000004</v>
      </c>
      <c r="F12" s="89">
        <f t="shared" si="0"/>
        <v>0</v>
      </c>
      <c r="G12" s="90">
        <v>1</v>
      </c>
      <c r="H12" s="91" t="str">
        <f>IF(E12&gt;=0.95,"V",IF(E12&gt;=0.8,"O","R"))</f>
        <v>R</v>
      </c>
      <c r="I12" s="88">
        <f t="shared" si="1"/>
        <v>0.30000000000000004</v>
      </c>
      <c r="J12" s="104">
        <f t="shared" si="2"/>
        <v>0.30000000000000004</v>
      </c>
      <c r="K12" s="108"/>
    </row>
    <row r="13" spans="1:11" ht="22" customHeight="1" thickBot="1" x14ac:dyDescent="0.4">
      <c r="A13" s="92" t="s">
        <v>135</v>
      </c>
      <c r="B13" s="93">
        <f>'INDICATEURS HIST'!K16</f>
        <v>0.9</v>
      </c>
      <c r="C13" s="94">
        <f>'INDICATEURS HIST'!K17</f>
        <v>0.9</v>
      </c>
      <c r="D13" s="94">
        <f>'INDICATEURS HIST'!K18</f>
        <v>0.9</v>
      </c>
      <c r="E13" s="94">
        <f>'INDICATEURS HIST'!K19</f>
        <v>0</v>
      </c>
      <c r="F13" s="95">
        <f t="shared" si="0"/>
        <v>-0.9</v>
      </c>
      <c r="G13" s="96">
        <v>0.86</v>
      </c>
      <c r="H13" s="97" t="s">
        <v>133</v>
      </c>
      <c r="I13" s="94">
        <f t="shared" si="1"/>
        <v>0.9</v>
      </c>
      <c r="J13" s="105">
        <f t="shared" si="2"/>
        <v>0</v>
      </c>
      <c r="K13" s="109"/>
    </row>
  </sheetData>
  <mergeCells count="1">
    <mergeCell ref="A1:K1"/>
  </mergeCells>
  <conditionalFormatting sqref="H4:H13">
    <cfRule type="cellIs" dxfId="17" priority="1" stopIfTrue="1" operator="equal">
      <formula>"""V"""</formula>
    </cfRule>
    <cfRule type="cellIs" dxfId="16" priority="2" stopIfTrue="1" operator="equal">
      <formula>"""O"""</formula>
    </cfRule>
    <cfRule type="cellIs" dxfId="15" priority="3" stopIfTrue="1" operator="equal">
      <formula>"""R"""</formula>
    </cfRule>
  </conditionalFormatting>
  <conditionalFormatting sqref="F4:F13">
    <cfRule type="cellIs" dxfId="14" priority="4" stopIfTrue="1" operator="greaterThan">
      <formula>0</formula>
    </cfRule>
    <cfRule type="cellIs" dxfId="13" priority="5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1905000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1905000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1905000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30625-AC33-494F-BF52-2DDD32EF3DF1}">
  <sheetPr codeName="Feuil16"/>
  <dimension ref="A1:K22"/>
  <sheetViews>
    <sheetView showGridLines="0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K1"/>
    </sheetView>
  </sheetViews>
  <sheetFormatPr baseColWidth="10" defaultRowHeight="14.5" x14ac:dyDescent="0.35"/>
  <cols>
    <col min="1" max="1" width="35.6328125" customWidth="1"/>
    <col min="2" max="5" width="12.6328125" customWidth="1"/>
    <col min="6" max="6" width="16.6328125" customWidth="1"/>
    <col min="7" max="7" width="10.6328125" customWidth="1"/>
    <col min="8" max="8" width="8.6328125" customWidth="1"/>
    <col min="9" max="10" width="12.6328125" customWidth="1"/>
    <col min="11" max="11" width="30.6328125" customWidth="1"/>
  </cols>
  <sheetData>
    <row r="1" spans="1:11" ht="35" customHeight="1" x14ac:dyDescent="0.35">
      <c r="A1" s="231" t="s">
        <v>137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</row>
    <row r="2" spans="1:11" ht="22" customHeight="1" x14ac:dyDescent="0.35">
      <c r="A2" s="10" t="s">
        <v>72</v>
      </c>
      <c r="B2" s="11" t="s">
        <v>197</v>
      </c>
      <c r="I2" s="9" t="s">
        <v>128</v>
      </c>
      <c r="J2" s="56">
        <v>46360</v>
      </c>
    </row>
    <row r="3" spans="1:11" ht="40" customHeight="1" thickBot="1" x14ac:dyDescent="0.4">
      <c r="A3" s="82" t="s">
        <v>129</v>
      </c>
      <c r="B3" s="76" t="s">
        <v>11</v>
      </c>
      <c r="C3" s="75" t="s">
        <v>12</v>
      </c>
      <c r="D3" s="75" t="s">
        <v>13</v>
      </c>
      <c r="E3" s="75" t="s">
        <v>14</v>
      </c>
      <c r="F3" s="75" t="s">
        <v>286</v>
      </c>
      <c r="G3" s="75" t="s">
        <v>130</v>
      </c>
      <c r="H3" s="75" t="s">
        <v>131</v>
      </c>
      <c r="I3" s="75" t="s">
        <v>285</v>
      </c>
      <c r="J3" s="98" t="s">
        <v>287</v>
      </c>
      <c r="K3" s="82" t="s">
        <v>132</v>
      </c>
    </row>
    <row r="4" spans="1:11" ht="22" customHeight="1" x14ac:dyDescent="0.35">
      <c r="A4" s="83" t="s">
        <v>106</v>
      </c>
      <c r="B4" s="77" t="str">
        <f>'INDICATEURS HIST'!L16</f>
        <v>—</v>
      </c>
      <c r="C4" s="71" t="str">
        <f>'INDICATEURS HIST'!L17</f>
        <v>—</v>
      </c>
      <c r="D4" s="71" t="str">
        <f>'INDICATEURS HIST'!L18</f>
        <v>—</v>
      </c>
      <c r="E4" s="71" t="str">
        <f>'INDICATEURS HIST'!L19</f>
        <v>—</v>
      </c>
      <c r="F4" s="72" t="str">
        <f t="shared" ref="F4:F22" si="0">IFERROR(E4-D4,"—")</f>
        <v>—</v>
      </c>
      <c r="G4" s="73">
        <v>1</v>
      </c>
      <c r="H4" s="74" t="str">
        <f>IF(E4&gt;=0.95,"V",IF(E4&gt;=0.8,"O","R"))</f>
        <v>V</v>
      </c>
      <c r="I4" s="71" t="str">
        <f t="shared" ref="I4:I22" si="1">D4</f>
        <v>—</v>
      </c>
      <c r="J4" s="99" t="str">
        <f t="shared" ref="J4:J22" si="2">E4</f>
        <v>—</v>
      </c>
      <c r="K4" s="106"/>
    </row>
    <row r="5" spans="1:11" ht="22" customHeight="1" x14ac:dyDescent="0.35">
      <c r="A5" s="84" t="s">
        <v>107</v>
      </c>
      <c r="B5" s="81">
        <f>'INDICATEURS HIST'!M16</f>
        <v>0</v>
      </c>
      <c r="C5" s="68">
        <f>'INDICATEURS HIST'!M17</f>
        <v>0</v>
      </c>
      <c r="D5" s="68">
        <f>'INDICATEURS HIST'!M18</f>
        <v>0</v>
      </c>
      <c r="E5" s="68">
        <f>'INDICATEURS HIST'!M19</f>
        <v>0</v>
      </c>
      <c r="F5" s="69">
        <f t="shared" si="0"/>
        <v>0</v>
      </c>
      <c r="G5" s="67">
        <v>0</v>
      </c>
      <c r="H5" s="64" t="s">
        <v>133</v>
      </c>
      <c r="I5" s="68">
        <f t="shared" si="1"/>
        <v>0</v>
      </c>
      <c r="J5" s="103">
        <f t="shared" si="2"/>
        <v>0</v>
      </c>
      <c r="K5" s="107"/>
    </row>
    <row r="6" spans="1:11" ht="22" customHeight="1" x14ac:dyDescent="0.35">
      <c r="A6" s="85" t="s">
        <v>108</v>
      </c>
      <c r="B6" s="80" t="str">
        <f>'INDICATEURS HIST'!N16</f>
        <v>—</v>
      </c>
      <c r="C6" s="57" t="str">
        <f>'INDICATEURS HIST'!N17</f>
        <v>—</v>
      </c>
      <c r="D6" s="57" t="str">
        <f>'INDICATEURS HIST'!N18</f>
        <v>—</v>
      </c>
      <c r="E6" s="57" t="str">
        <f>'INDICATEURS HIST'!N19</f>
        <v>—</v>
      </c>
      <c r="F6" s="58" t="str">
        <f t="shared" si="0"/>
        <v>—</v>
      </c>
      <c r="G6" s="59">
        <v>1</v>
      </c>
      <c r="H6" s="60" t="str">
        <f>IF(E6&gt;=0.95,"V",IF(E6&gt;=0.8,"O","R"))</f>
        <v>V</v>
      </c>
      <c r="I6" s="57" t="str">
        <f t="shared" si="1"/>
        <v>—</v>
      </c>
      <c r="J6" s="102" t="str">
        <f t="shared" si="2"/>
        <v>—</v>
      </c>
      <c r="K6" s="107"/>
    </row>
    <row r="7" spans="1:11" ht="22" customHeight="1" x14ac:dyDescent="0.35">
      <c r="A7" s="84" t="s">
        <v>109</v>
      </c>
      <c r="B7" s="78">
        <f>'INDICATEURS HIST'!O16</f>
        <v>0</v>
      </c>
      <c r="C7" s="61">
        <f>'INDICATEURS HIST'!O17</f>
        <v>0</v>
      </c>
      <c r="D7" s="61">
        <f>'INDICATEURS HIST'!O18</f>
        <v>0</v>
      </c>
      <c r="E7" s="61">
        <f>'INDICATEURS HIST'!O19</f>
        <v>0</v>
      </c>
      <c r="F7" s="62">
        <f t="shared" si="0"/>
        <v>0</v>
      </c>
      <c r="G7" s="63">
        <v>1</v>
      </c>
      <c r="H7" s="64" t="str">
        <f>IF(E7&gt;=0.95,"V",IF(E7&gt;=0.8,"O","R"))</f>
        <v>R</v>
      </c>
      <c r="I7" s="61">
        <f t="shared" si="1"/>
        <v>0</v>
      </c>
      <c r="J7" s="100">
        <f t="shared" si="2"/>
        <v>0</v>
      </c>
      <c r="K7" s="107"/>
    </row>
    <row r="8" spans="1:11" ht="22" customHeight="1" x14ac:dyDescent="0.35">
      <c r="A8" s="85" t="s">
        <v>110</v>
      </c>
      <c r="B8" s="79">
        <f>'INDICATEURS HIST'!P16</f>
        <v>0</v>
      </c>
      <c r="C8" s="65">
        <f>'INDICATEURS HIST'!P17</f>
        <v>0</v>
      </c>
      <c r="D8" s="65">
        <f>'INDICATEURS HIST'!P18</f>
        <v>0</v>
      </c>
      <c r="E8" s="65">
        <f>'INDICATEURS HIST'!P19</f>
        <v>0</v>
      </c>
      <c r="F8" s="66">
        <f t="shared" si="0"/>
        <v>0</v>
      </c>
      <c r="G8" s="70"/>
      <c r="H8" s="60" t="s">
        <v>133</v>
      </c>
      <c r="I8" s="65">
        <f t="shared" si="1"/>
        <v>0</v>
      </c>
      <c r="J8" s="101">
        <f t="shared" si="2"/>
        <v>0</v>
      </c>
      <c r="K8" s="107"/>
    </row>
    <row r="9" spans="1:11" ht="22" customHeight="1" x14ac:dyDescent="0.35">
      <c r="A9" s="84" t="s">
        <v>111</v>
      </c>
      <c r="B9" s="81">
        <f>'INDICATEURS HIST'!Q16</f>
        <v>0</v>
      </c>
      <c r="C9" s="68">
        <f>'INDICATEURS HIST'!Q17</f>
        <v>0</v>
      </c>
      <c r="D9" s="68">
        <f>'INDICATEURS HIST'!Q18</f>
        <v>0</v>
      </c>
      <c r="E9" s="68">
        <f>'INDICATEURS HIST'!Q19</f>
        <v>0</v>
      </c>
      <c r="F9" s="69">
        <f t="shared" si="0"/>
        <v>0</v>
      </c>
      <c r="G9" s="67"/>
      <c r="H9" s="64" t="s">
        <v>133</v>
      </c>
      <c r="I9" s="68">
        <f t="shared" si="1"/>
        <v>0</v>
      </c>
      <c r="J9" s="103">
        <f t="shared" si="2"/>
        <v>0</v>
      </c>
      <c r="K9" s="107"/>
    </row>
    <row r="10" spans="1:11" ht="22" customHeight="1" x14ac:dyDescent="0.35">
      <c r="A10" s="85" t="s">
        <v>112</v>
      </c>
      <c r="B10" s="79">
        <f>'INDICATEURS HIST'!R16</f>
        <v>0</v>
      </c>
      <c r="C10" s="65">
        <f>'INDICATEURS HIST'!R17</f>
        <v>0</v>
      </c>
      <c r="D10" s="65">
        <f>'INDICATEURS HIST'!R18</f>
        <v>0</v>
      </c>
      <c r="E10" s="65">
        <f>'INDICATEURS HIST'!R19</f>
        <v>0</v>
      </c>
      <c r="F10" s="66">
        <f t="shared" si="0"/>
        <v>0</v>
      </c>
      <c r="G10" s="70"/>
      <c r="H10" s="60" t="s">
        <v>133</v>
      </c>
      <c r="I10" s="65">
        <f t="shared" si="1"/>
        <v>0</v>
      </c>
      <c r="J10" s="101">
        <f t="shared" si="2"/>
        <v>0</v>
      </c>
      <c r="K10" s="107"/>
    </row>
    <row r="11" spans="1:11" ht="22" customHeight="1" x14ac:dyDescent="0.35">
      <c r="A11" s="84" t="s">
        <v>113</v>
      </c>
      <c r="B11" s="81">
        <f>'INDICATEURS HIST'!S16</f>
        <v>0</v>
      </c>
      <c r="C11" s="68">
        <f>'INDICATEURS HIST'!S17</f>
        <v>0</v>
      </c>
      <c r="D11" s="68">
        <f>'INDICATEURS HIST'!S18</f>
        <v>0</v>
      </c>
      <c r="E11" s="68">
        <f>'INDICATEURS HIST'!S19</f>
        <v>0</v>
      </c>
      <c r="F11" s="69">
        <f t="shared" si="0"/>
        <v>0</v>
      </c>
      <c r="G11" s="67"/>
      <c r="H11" s="64" t="s">
        <v>133</v>
      </c>
      <c r="I11" s="68">
        <f t="shared" si="1"/>
        <v>0</v>
      </c>
      <c r="J11" s="103">
        <f t="shared" si="2"/>
        <v>0</v>
      </c>
      <c r="K11" s="107"/>
    </row>
    <row r="12" spans="1:11" ht="22" customHeight="1" x14ac:dyDescent="0.35">
      <c r="A12" s="85" t="s">
        <v>114</v>
      </c>
      <c r="B12" s="79">
        <f>'INDICATEURS HIST'!T16</f>
        <v>0</v>
      </c>
      <c r="C12" s="65">
        <f>'INDICATEURS HIST'!T17</f>
        <v>0</v>
      </c>
      <c r="D12" s="65">
        <f>'INDICATEURS HIST'!T18</f>
        <v>0</v>
      </c>
      <c r="E12" s="65">
        <f>'INDICATEURS HIST'!T19</f>
        <v>0</v>
      </c>
      <c r="F12" s="66">
        <f t="shared" si="0"/>
        <v>0</v>
      </c>
      <c r="G12" s="70"/>
      <c r="H12" s="60" t="s">
        <v>133</v>
      </c>
      <c r="I12" s="65">
        <f t="shared" si="1"/>
        <v>0</v>
      </c>
      <c r="J12" s="101">
        <f t="shared" si="2"/>
        <v>0</v>
      </c>
      <c r="K12" s="107"/>
    </row>
    <row r="13" spans="1:11" ht="22" customHeight="1" x14ac:dyDescent="0.35">
      <c r="A13" s="84" t="s">
        <v>115</v>
      </c>
      <c r="B13" s="78">
        <f>'INDICATEURS HIST'!U16</f>
        <v>1</v>
      </c>
      <c r="C13" s="61">
        <f>'INDICATEURS HIST'!U17</f>
        <v>1</v>
      </c>
      <c r="D13" s="61">
        <f>'INDICATEURS HIST'!U18</f>
        <v>1</v>
      </c>
      <c r="E13" s="61">
        <f>'INDICATEURS HIST'!U19</f>
        <v>1</v>
      </c>
      <c r="F13" s="62">
        <f t="shared" si="0"/>
        <v>0</v>
      </c>
      <c r="G13" s="67"/>
      <c r="H13" s="64" t="s">
        <v>133</v>
      </c>
      <c r="I13" s="61">
        <f t="shared" si="1"/>
        <v>1</v>
      </c>
      <c r="J13" s="100">
        <f t="shared" si="2"/>
        <v>1</v>
      </c>
      <c r="K13" s="107"/>
    </row>
    <row r="14" spans="1:11" ht="22" customHeight="1" x14ac:dyDescent="0.35">
      <c r="A14" s="85" t="s">
        <v>116</v>
      </c>
      <c r="B14" s="79">
        <f>'INDICATEURS HIST'!V16</f>
        <v>0</v>
      </c>
      <c r="C14" s="65">
        <f>'INDICATEURS HIST'!V17</f>
        <v>0</v>
      </c>
      <c r="D14" s="65">
        <f>'INDICATEURS HIST'!V18</f>
        <v>0</v>
      </c>
      <c r="E14" s="65">
        <f>'INDICATEURS HIST'!V19</f>
        <v>0</v>
      </c>
      <c r="F14" s="66">
        <f t="shared" si="0"/>
        <v>0</v>
      </c>
      <c r="G14" s="70"/>
      <c r="H14" s="60" t="s">
        <v>133</v>
      </c>
      <c r="I14" s="65">
        <f t="shared" si="1"/>
        <v>0</v>
      </c>
      <c r="J14" s="101">
        <f t="shared" si="2"/>
        <v>0</v>
      </c>
      <c r="K14" s="107"/>
    </row>
    <row r="15" spans="1:11" ht="22" customHeight="1" x14ac:dyDescent="0.35">
      <c r="A15" s="84" t="s">
        <v>117</v>
      </c>
      <c r="B15" s="81">
        <f>'INDICATEURS HIST'!W16</f>
        <v>0</v>
      </c>
      <c r="C15" s="68">
        <f>'INDICATEURS HIST'!W17</f>
        <v>0</v>
      </c>
      <c r="D15" s="68">
        <f>'INDICATEURS HIST'!W18</f>
        <v>0</v>
      </c>
      <c r="E15" s="68">
        <f>'INDICATEURS HIST'!W19</f>
        <v>0</v>
      </c>
      <c r="F15" s="69">
        <f t="shared" si="0"/>
        <v>0</v>
      </c>
      <c r="G15" s="67"/>
      <c r="H15" s="64" t="s">
        <v>133</v>
      </c>
      <c r="I15" s="68">
        <f t="shared" si="1"/>
        <v>0</v>
      </c>
      <c r="J15" s="103">
        <f t="shared" si="2"/>
        <v>0</v>
      </c>
      <c r="K15" s="107"/>
    </row>
    <row r="16" spans="1:11" ht="22" customHeight="1" x14ac:dyDescent="0.35">
      <c r="A16" s="85" t="s">
        <v>118</v>
      </c>
      <c r="B16" s="79">
        <f>'INDICATEURS HIST'!X16</f>
        <v>0</v>
      </c>
      <c r="C16" s="65">
        <f>'INDICATEURS HIST'!X17</f>
        <v>0</v>
      </c>
      <c r="D16" s="65">
        <f>'INDICATEURS HIST'!X18</f>
        <v>0</v>
      </c>
      <c r="E16" s="65">
        <f>'INDICATEURS HIST'!X19</f>
        <v>0</v>
      </c>
      <c r="F16" s="66">
        <f t="shared" si="0"/>
        <v>0</v>
      </c>
      <c r="G16" s="70"/>
      <c r="H16" s="60" t="s">
        <v>133</v>
      </c>
      <c r="I16" s="65">
        <f t="shared" si="1"/>
        <v>0</v>
      </c>
      <c r="J16" s="101">
        <f t="shared" si="2"/>
        <v>0</v>
      </c>
      <c r="K16" s="107"/>
    </row>
    <row r="17" spans="1:11" ht="22" customHeight="1" x14ac:dyDescent="0.35">
      <c r="A17" s="84" t="s">
        <v>119</v>
      </c>
      <c r="B17" s="81">
        <f>'INDICATEURS HIST'!Y16</f>
        <v>0</v>
      </c>
      <c r="C17" s="68">
        <f>'INDICATEURS HIST'!Y17</f>
        <v>0</v>
      </c>
      <c r="D17" s="68">
        <f>'INDICATEURS HIST'!Y18</f>
        <v>0</v>
      </c>
      <c r="E17" s="68">
        <f>'INDICATEURS HIST'!Y19</f>
        <v>0</v>
      </c>
      <c r="F17" s="69">
        <f t="shared" si="0"/>
        <v>0</v>
      </c>
      <c r="G17" s="67"/>
      <c r="H17" s="64" t="s">
        <v>133</v>
      </c>
      <c r="I17" s="68">
        <f t="shared" si="1"/>
        <v>0</v>
      </c>
      <c r="J17" s="103">
        <f t="shared" si="2"/>
        <v>0</v>
      </c>
      <c r="K17" s="107"/>
    </row>
    <row r="18" spans="1:11" ht="22" customHeight="1" x14ac:dyDescent="0.35">
      <c r="A18" s="85" t="s">
        <v>120</v>
      </c>
      <c r="B18" s="79">
        <f>'INDICATEURS HIST'!Z16</f>
        <v>0</v>
      </c>
      <c r="C18" s="65">
        <f>'INDICATEURS HIST'!Z17</f>
        <v>0</v>
      </c>
      <c r="D18" s="65">
        <f>'INDICATEURS HIST'!Z18</f>
        <v>0</v>
      </c>
      <c r="E18" s="65">
        <f>'INDICATEURS HIST'!Z19</f>
        <v>0</v>
      </c>
      <c r="F18" s="66">
        <f t="shared" si="0"/>
        <v>0</v>
      </c>
      <c r="G18" s="70"/>
      <c r="H18" s="60" t="s">
        <v>133</v>
      </c>
      <c r="I18" s="65">
        <f t="shared" si="1"/>
        <v>0</v>
      </c>
      <c r="J18" s="101">
        <f t="shared" si="2"/>
        <v>0</v>
      </c>
      <c r="K18" s="107"/>
    </row>
    <row r="19" spans="1:11" ht="22" customHeight="1" x14ac:dyDescent="0.35">
      <c r="A19" s="84" t="s">
        <v>122</v>
      </c>
      <c r="B19" s="81">
        <f>'INDICATEURS HIST'!AB16</f>
        <v>0</v>
      </c>
      <c r="C19" s="68">
        <f>'INDICATEURS HIST'!AB17</f>
        <v>0</v>
      </c>
      <c r="D19" s="68">
        <f>'INDICATEURS HIST'!AB18</f>
        <v>0</v>
      </c>
      <c r="E19" s="68">
        <f>'INDICATEURS HIST'!AB19</f>
        <v>0</v>
      </c>
      <c r="F19" s="69">
        <f t="shared" si="0"/>
        <v>0</v>
      </c>
      <c r="G19" s="67"/>
      <c r="H19" s="64" t="s">
        <v>133</v>
      </c>
      <c r="I19" s="68">
        <f t="shared" si="1"/>
        <v>0</v>
      </c>
      <c r="J19" s="103">
        <f t="shared" si="2"/>
        <v>0</v>
      </c>
      <c r="K19" s="107"/>
    </row>
    <row r="20" spans="1:11" ht="22" customHeight="1" x14ac:dyDescent="0.35">
      <c r="A20" s="85" t="s">
        <v>123</v>
      </c>
      <c r="B20" s="79">
        <f>'INDICATEURS HIST'!AC16</f>
        <v>0</v>
      </c>
      <c r="C20" s="65">
        <f>'INDICATEURS HIST'!AC17</f>
        <v>0</v>
      </c>
      <c r="D20" s="65">
        <f>'INDICATEURS HIST'!AC18</f>
        <v>0</v>
      </c>
      <c r="E20" s="65">
        <f>'INDICATEURS HIST'!AC19</f>
        <v>0</v>
      </c>
      <c r="F20" s="66">
        <f t="shared" si="0"/>
        <v>0</v>
      </c>
      <c r="G20" s="70"/>
      <c r="H20" s="60" t="s">
        <v>133</v>
      </c>
      <c r="I20" s="65">
        <f t="shared" si="1"/>
        <v>0</v>
      </c>
      <c r="J20" s="101">
        <f t="shared" si="2"/>
        <v>0</v>
      </c>
      <c r="K20" s="107"/>
    </row>
    <row r="21" spans="1:11" ht="22" customHeight="1" x14ac:dyDescent="0.35">
      <c r="A21" s="110" t="s">
        <v>124</v>
      </c>
      <c r="B21" s="111">
        <f>'INDICATEURS HIST'!AD16</f>
        <v>0</v>
      </c>
      <c r="C21" s="112">
        <f>'INDICATEURS HIST'!AD17</f>
        <v>0</v>
      </c>
      <c r="D21" s="112">
        <f>'INDICATEURS HIST'!AD18</f>
        <v>0</v>
      </c>
      <c r="E21" s="112">
        <f>'INDICATEURS HIST'!AD19</f>
        <v>0</v>
      </c>
      <c r="F21" s="113">
        <f t="shared" si="0"/>
        <v>0</v>
      </c>
      <c r="G21" s="114"/>
      <c r="H21" s="115" t="s">
        <v>133</v>
      </c>
      <c r="I21" s="112">
        <f t="shared" si="1"/>
        <v>0</v>
      </c>
      <c r="J21" s="122">
        <f t="shared" si="2"/>
        <v>0</v>
      </c>
      <c r="K21" s="108"/>
    </row>
    <row r="22" spans="1:11" ht="22" customHeight="1" thickBot="1" x14ac:dyDescent="0.4">
      <c r="A22" s="116" t="s">
        <v>125</v>
      </c>
      <c r="B22" s="117">
        <f>'INDICATEURS HIST'!AE16</f>
        <v>0</v>
      </c>
      <c r="C22" s="118">
        <f>'INDICATEURS HIST'!AE17</f>
        <v>0</v>
      </c>
      <c r="D22" s="118">
        <f>'INDICATEURS HIST'!AE18</f>
        <v>0</v>
      </c>
      <c r="E22" s="118">
        <f>'INDICATEURS HIST'!AE19</f>
        <v>0</v>
      </c>
      <c r="F22" s="119">
        <f t="shared" si="0"/>
        <v>0</v>
      </c>
      <c r="G22" s="120"/>
      <c r="H22" s="121" t="s">
        <v>133</v>
      </c>
      <c r="I22" s="118">
        <f t="shared" si="1"/>
        <v>0</v>
      </c>
      <c r="J22" s="123">
        <f t="shared" si="2"/>
        <v>0</v>
      </c>
      <c r="K22" s="109"/>
    </row>
  </sheetData>
  <mergeCells count="1">
    <mergeCell ref="A1:K1"/>
  </mergeCells>
  <conditionalFormatting sqref="H4:H22">
    <cfRule type="cellIs" dxfId="12" priority="1" stopIfTrue="1" operator="equal">
      <formula>"""V"""</formula>
    </cfRule>
    <cfRule type="cellIs" dxfId="11" priority="2" stopIfTrue="1" operator="equal">
      <formula>"""O"""</formula>
    </cfRule>
    <cfRule type="cellIs" dxfId="10" priority="3" stopIfTrue="1" operator="equal">
      <formula>"""R"""</formula>
    </cfRule>
  </conditionalFormatting>
  <conditionalFormatting sqref="F4:F22">
    <cfRule type="cellIs" dxfId="9" priority="4" stopIfTrue="1" operator="greaterThan">
      <formula>0</formula>
    </cfRule>
    <cfRule type="cellIs" dxfId="8" priority="5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0</xdr:col>
                    <xdr:colOff>1905000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A471-67CF-4EA8-BFDC-282D89E8D621}">
  <sheetPr codeName="Feuil17"/>
  <dimension ref="A1:K20"/>
  <sheetViews>
    <sheetView showGridLines="0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35" sqref="H35"/>
    </sheetView>
  </sheetViews>
  <sheetFormatPr baseColWidth="10" defaultRowHeight="14.5" x14ac:dyDescent="0.35"/>
  <cols>
    <col min="1" max="1" width="35.6328125" customWidth="1"/>
    <col min="2" max="5" width="12.6328125" customWidth="1"/>
    <col min="6" max="6" width="16.6328125" customWidth="1"/>
    <col min="7" max="7" width="10.6328125" customWidth="1"/>
    <col min="8" max="8" width="8.6328125" customWidth="1"/>
    <col min="9" max="10" width="12.6328125" customWidth="1"/>
    <col min="11" max="11" width="30.6328125" customWidth="1"/>
  </cols>
  <sheetData>
    <row r="1" spans="1:11" ht="35" customHeight="1" x14ac:dyDescent="0.35">
      <c r="A1" s="231" t="s">
        <v>138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</row>
    <row r="2" spans="1:11" ht="22" customHeight="1" x14ac:dyDescent="0.35">
      <c r="A2" s="10" t="s">
        <v>72</v>
      </c>
      <c r="B2" s="11" t="s">
        <v>197</v>
      </c>
      <c r="I2" s="9" t="s">
        <v>128</v>
      </c>
      <c r="J2" s="56">
        <v>46360</v>
      </c>
    </row>
    <row r="3" spans="1:11" ht="40" customHeight="1" thickBot="1" x14ac:dyDescent="0.4">
      <c r="A3" s="82" t="s">
        <v>129</v>
      </c>
      <c r="B3" s="76" t="s">
        <v>11</v>
      </c>
      <c r="C3" s="75" t="s">
        <v>12</v>
      </c>
      <c r="D3" s="75" t="s">
        <v>13</v>
      </c>
      <c r="E3" s="75" t="s">
        <v>14</v>
      </c>
      <c r="F3" s="75" t="s">
        <v>286</v>
      </c>
      <c r="G3" s="75" t="s">
        <v>130</v>
      </c>
      <c r="H3" s="75" t="s">
        <v>131</v>
      </c>
      <c r="I3" s="75" t="s">
        <v>285</v>
      </c>
      <c r="J3" s="98" t="s">
        <v>287</v>
      </c>
      <c r="K3" s="82" t="s">
        <v>132</v>
      </c>
    </row>
    <row r="4" spans="1:11" ht="22" customHeight="1" x14ac:dyDescent="0.35">
      <c r="A4" s="83" t="s">
        <v>115</v>
      </c>
      <c r="B4" s="77">
        <f>'INDICATEURS HIST'!U16</f>
        <v>1</v>
      </c>
      <c r="C4" s="71">
        <f>'INDICATEURS HIST'!U17</f>
        <v>1</v>
      </c>
      <c r="D4" s="71">
        <f>'INDICATEURS HIST'!U18</f>
        <v>1</v>
      </c>
      <c r="E4" s="71">
        <f>'INDICATEURS HIST'!U19</f>
        <v>1</v>
      </c>
      <c r="F4" s="72">
        <f t="shared" ref="F4:F14" si="0">IFERROR(E4-D4,"—")</f>
        <v>0</v>
      </c>
      <c r="G4" s="124"/>
      <c r="H4" s="74" t="s">
        <v>133</v>
      </c>
      <c r="I4" s="71">
        <f t="shared" ref="I4:I14" si="1">D4</f>
        <v>1</v>
      </c>
      <c r="J4" s="99">
        <f t="shared" ref="J4:J14" si="2">E4</f>
        <v>1</v>
      </c>
      <c r="K4" s="106"/>
    </row>
    <row r="5" spans="1:11" ht="22" customHeight="1" x14ac:dyDescent="0.35">
      <c r="A5" s="84" t="s">
        <v>116</v>
      </c>
      <c r="B5" s="81">
        <f>'INDICATEURS HIST'!V16</f>
        <v>0</v>
      </c>
      <c r="C5" s="68">
        <f>'INDICATEURS HIST'!V17</f>
        <v>0</v>
      </c>
      <c r="D5" s="68">
        <f>'INDICATEURS HIST'!V18</f>
        <v>0</v>
      </c>
      <c r="E5" s="68">
        <f>'INDICATEURS HIST'!V19</f>
        <v>0</v>
      </c>
      <c r="F5" s="69">
        <f t="shared" si="0"/>
        <v>0</v>
      </c>
      <c r="G5" s="67"/>
      <c r="H5" s="64" t="s">
        <v>133</v>
      </c>
      <c r="I5" s="68">
        <f t="shared" si="1"/>
        <v>0</v>
      </c>
      <c r="J5" s="103">
        <f t="shared" si="2"/>
        <v>0</v>
      </c>
      <c r="K5" s="107"/>
    </row>
    <row r="6" spans="1:11" ht="22" customHeight="1" x14ac:dyDescent="0.35">
      <c r="A6" s="85" t="s">
        <v>117</v>
      </c>
      <c r="B6" s="79">
        <f>'INDICATEURS HIST'!W16</f>
        <v>0</v>
      </c>
      <c r="C6" s="65">
        <f>'INDICATEURS HIST'!W17</f>
        <v>0</v>
      </c>
      <c r="D6" s="65">
        <f>'INDICATEURS HIST'!W18</f>
        <v>0</v>
      </c>
      <c r="E6" s="65">
        <f>'INDICATEURS HIST'!W19</f>
        <v>0</v>
      </c>
      <c r="F6" s="66">
        <f t="shared" si="0"/>
        <v>0</v>
      </c>
      <c r="G6" s="70"/>
      <c r="H6" s="60" t="s">
        <v>133</v>
      </c>
      <c r="I6" s="65">
        <f t="shared" si="1"/>
        <v>0</v>
      </c>
      <c r="J6" s="101">
        <f t="shared" si="2"/>
        <v>0</v>
      </c>
      <c r="K6" s="107"/>
    </row>
    <row r="7" spans="1:11" ht="22" customHeight="1" x14ac:dyDescent="0.35">
      <c r="A7" s="84" t="s">
        <v>118</v>
      </c>
      <c r="B7" s="81">
        <f>'INDICATEURS HIST'!X16</f>
        <v>0</v>
      </c>
      <c r="C7" s="68">
        <f>'INDICATEURS HIST'!X17</f>
        <v>0</v>
      </c>
      <c r="D7" s="68">
        <f>'INDICATEURS HIST'!X18</f>
        <v>0</v>
      </c>
      <c r="E7" s="68">
        <f>'INDICATEURS HIST'!X19</f>
        <v>0</v>
      </c>
      <c r="F7" s="69">
        <f t="shared" si="0"/>
        <v>0</v>
      </c>
      <c r="G7" s="67"/>
      <c r="H7" s="64" t="s">
        <v>133</v>
      </c>
      <c r="I7" s="68">
        <f t="shared" si="1"/>
        <v>0</v>
      </c>
      <c r="J7" s="103">
        <f t="shared" si="2"/>
        <v>0</v>
      </c>
      <c r="K7" s="107"/>
    </row>
    <row r="8" spans="1:11" ht="22" customHeight="1" x14ac:dyDescent="0.35">
      <c r="A8" s="85" t="s">
        <v>119</v>
      </c>
      <c r="B8" s="79">
        <f>'INDICATEURS HIST'!Y16</f>
        <v>0</v>
      </c>
      <c r="C8" s="65">
        <f>'INDICATEURS HIST'!Y17</f>
        <v>0</v>
      </c>
      <c r="D8" s="65">
        <f>'INDICATEURS HIST'!Y18</f>
        <v>0</v>
      </c>
      <c r="E8" s="65">
        <f>'INDICATEURS HIST'!Y19</f>
        <v>0</v>
      </c>
      <c r="F8" s="66">
        <f t="shared" si="0"/>
        <v>0</v>
      </c>
      <c r="G8" s="70"/>
      <c r="H8" s="60" t="s">
        <v>133</v>
      </c>
      <c r="I8" s="65">
        <f t="shared" si="1"/>
        <v>0</v>
      </c>
      <c r="J8" s="101">
        <f t="shared" si="2"/>
        <v>0</v>
      </c>
      <c r="K8" s="107"/>
    </row>
    <row r="9" spans="1:11" ht="22" customHeight="1" x14ac:dyDescent="0.35">
      <c r="A9" s="84" t="s">
        <v>120</v>
      </c>
      <c r="B9" s="81">
        <f>'INDICATEURS HIST'!Z16</f>
        <v>0</v>
      </c>
      <c r="C9" s="68">
        <f>'INDICATEURS HIST'!Z17</f>
        <v>0</v>
      </c>
      <c r="D9" s="68">
        <f>'INDICATEURS HIST'!Z18</f>
        <v>0</v>
      </c>
      <c r="E9" s="68">
        <f>'INDICATEURS HIST'!Z19</f>
        <v>0</v>
      </c>
      <c r="F9" s="69">
        <f t="shared" si="0"/>
        <v>0</v>
      </c>
      <c r="G9" s="67"/>
      <c r="H9" s="64" t="s">
        <v>133</v>
      </c>
      <c r="I9" s="68">
        <f t="shared" si="1"/>
        <v>0</v>
      </c>
      <c r="J9" s="103">
        <f t="shared" si="2"/>
        <v>0</v>
      </c>
      <c r="K9" s="107"/>
    </row>
    <row r="10" spans="1:11" ht="22" customHeight="1" x14ac:dyDescent="0.35">
      <c r="A10" s="85" t="s">
        <v>121</v>
      </c>
      <c r="B10" s="80" t="str">
        <f>'INDICATEURS HIST'!AA16</f>
        <v>—</v>
      </c>
      <c r="C10" s="57" t="str">
        <f>'INDICATEURS HIST'!AA17</f>
        <v>—</v>
      </c>
      <c r="D10" s="57" t="str">
        <f>'INDICATEURS HIST'!AA18</f>
        <v>—</v>
      </c>
      <c r="E10" s="57" t="str">
        <f>'INDICATEURS HIST'!AA19</f>
        <v>—</v>
      </c>
      <c r="F10" s="58" t="str">
        <f t="shared" si="0"/>
        <v>—</v>
      </c>
      <c r="G10" s="70"/>
      <c r="H10" s="60" t="s">
        <v>133</v>
      </c>
      <c r="I10" s="57" t="str">
        <f t="shared" si="1"/>
        <v>—</v>
      </c>
      <c r="J10" s="102" t="str">
        <f t="shared" si="2"/>
        <v>—</v>
      </c>
      <c r="K10" s="107"/>
    </row>
    <row r="11" spans="1:11" ht="22" customHeight="1" x14ac:dyDescent="0.35">
      <c r="A11" s="84" t="s">
        <v>122</v>
      </c>
      <c r="B11" s="81">
        <f>'INDICATEURS HIST'!AB16</f>
        <v>0</v>
      </c>
      <c r="C11" s="68">
        <f>'INDICATEURS HIST'!AB17</f>
        <v>0</v>
      </c>
      <c r="D11" s="68">
        <f>'INDICATEURS HIST'!AB18</f>
        <v>0</v>
      </c>
      <c r="E11" s="68">
        <f>'INDICATEURS HIST'!AB19</f>
        <v>0</v>
      </c>
      <c r="F11" s="69">
        <f t="shared" si="0"/>
        <v>0</v>
      </c>
      <c r="G11" s="67"/>
      <c r="H11" s="64" t="s">
        <v>133</v>
      </c>
      <c r="I11" s="68">
        <f t="shared" si="1"/>
        <v>0</v>
      </c>
      <c r="J11" s="103">
        <f t="shared" si="2"/>
        <v>0</v>
      </c>
      <c r="K11" s="107"/>
    </row>
    <row r="12" spans="1:11" ht="22" customHeight="1" x14ac:dyDescent="0.35">
      <c r="A12" s="85" t="s">
        <v>123</v>
      </c>
      <c r="B12" s="79">
        <f>'INDICATEURS HIST'!AC16</f>
        <v>0</v>
      </c>
      <c r="C12" s="65">
        <f>'INDICATEURS HIST'!AC17</f>
        <v>0</v>
      </c>
      <c r="D12" s="65">
        <f>'INDICATEURS HIST'!AC18</f>
        <v>0</v>
      </c>
      <c r="E12" s="65">
        <f>'INDICATEURS HIST'!AC19</f>
        <v>0</v>
      </c>
      <c r="F12" s="66">
        <f t="shared" si="0"/>
        <v>0</v>
      </c>
      <c r="G12" s="70"/>
      <c r="H12" s="60" t="s">
        <v>133</v>
      </c>
      <c r="I12" s="65">
        <f t="shared" si="1"/>
        <v>0</v>
      </c>
      <c r="J12" s="101">
        <f t="shared" si="2"/>
        <v>0</v>
      </c>
      <c r="K12" s="107"/>
    </row>
    <row r="13" spans="1:11" ht="22" customHeight="1" x14ac:dyDescent="0.35">
      <c r="A13" s="110" t="s">
        <v>124</v>
      </c>
      <c r="B13" s="111">
        <f>'INDICATEURS HIST'!AD16</f>
        <v>0</v>
      </c>
      <c r="C13" s="112">
        <f>'INDICATEURS HIST'!AD17</f>
        <v>0</v>
      </c>
      <c r="D13" s="112">
        <f>'INDICATEURS HIST'!AD18</f>
        <v>0</v>
      </c>
      <c r="E13" s="112">
        <f>'INDICATEURS HIST'!AD19</f>
        <v>0</v>
      </c>
      <c r="F13" s="113">
        <f t="shared" si="0"/>
        <v>0</v>
      </c>
      <c r="G13" s="114"/>
      <c r="H13" s="115" t="s">
        <v>133</v>
      </c>
      <c r="I13" s="112">
        <f t="shared" si="1"/>
        <v>0</v>
      </c>
      <c r="J13" s="122">
        <f t="shared" si="2"/>
        <v>0</v>
      </c>
      <c r="K13" s="108"/>
    </row>
    <row r="14" spans="1:11" ht="22" customHeight="1" thickBot="1" x14ac:dyDescent="0.4">
      <c r="A14" s="116" t="s">
        <v>125</v>
      </c>
      <c r="B14" s="117">
        <f>'INDICATEURS HIST'!AE16</f>
        <v>0</v>
      </c>
      <c r="C14" s="118">
        <f>'INDICATEURS HIST'!AE17</f>
        <v>0</v>
      </c>
      <c r="D14" s="118">
        <f>'INDICATEURS HIST'!AE18</f>
        <v>0</v>
      </c>
      <c r="E14" s="118">
        <f>'INDICATEURS HIST'!AE19</f>
        <v>0</v>
      </c>
      <c r="F14" s="119">
        <f t="shared" si="0"/>
        <v>0</v>
      </c>
      <c r="G14" s="120"/>
      <c r="H14" s="121" t="s">
        <v>133</v>
      </c>
      <c r="I14" s="118">
        <f t="shared" si="1"/>
        <v>0</v>
      </c>
      <c r="J14" s="123">
        <f t="shared" si="2"/>
        <v>0</v>
      </c>
      <c r="K14" s="109"/>
    </row>
    <row r="15" spans="1:11" ht="18" customHeight="1" x14ac:dyDescent="0.35"/>
    <row r="16" spans="1:11" ht="18" customHeight="1" x14ac:dyDescent="0.35"/>
    <row r="17" customFormat="1" ht="18" customHeight="1" x14ac:dyDescent="0.35"/>
    <row r="18" customFormat="1" ht="18" customHeight="1" x14ac:dyDescent="0.35"/>
    <row r="19" customFormat="1" ht="18" customHeight="1" x14ac:dyDescent="0.35"/>
    <row r="20" customFormat="1" ht="18" customHeight="1" x14ac:dyDescent="0.35"/>
  </sheetData>
  <mergeCells count="1">
    <mergeCell ref="A1:K1"/>
  </mergeCells>
  <conditionalFormatting sqref="H4:H14">
    <cfRule type="cellIs" dxfId="7" priority="1" stopIfTrue="1" operator="equal">
      <formula>"""V"""</formula>
    </cfRule>
    <cfRule type="cellIs" dxfId="6" priority="2" stopIfTrue="1" operator="equal">
      <formula>"""O"""</formula>
    </cfRule>
    <cfRule type="cellIs" dxfId="5" priority="3" stopIfTrue="1" operator="equal">
      <formula>"""R"""</formula>
    </cfRule>
  </conditionalFormatting>
  <conditionalFormatting sqref="F4:F14">
    <cfRule type="cellIs" dxfId="4" priority="4" stopIfTrue="1" operator="greaterThan">
      <formula>0</formula>
    </cfRule>
    <cfRule type="cellIs" dxfId="3" priority="5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15</xdr:row>
                    <xdr:rowOff>25400</xdr:rowOff>
                  </from>
                  <to>
                    <xdr:col>0</xdr:col>
                    <xdr:colOff>1905000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EFD2E-524D-4333-8417-C58B9FA98EFE}">
  <sheetPr codeName="Feuil18"/>
  <dimension ref="A1:AE56"/>
  <sheetViews>
    <sheetView showGridLines="0" zoomScaleNormal="100" workbookViewId="0">
      <pane xSplit="1" ySplit="4" topLeftCell="C40" activePane="bottomRight" state="frozen"/>
      <selection pane="topRight" activeCell="B1" sqref="B1"/>
      <selection pane="bottomLeft" activeCell="A5" sqref="A5"/>
      <selection pane="bottomRight" sqref="A1:AE1"/>
    </sheetView>
  </sheetViews>
  <sheetFormatPr baseColWidth="10" defaultRowHeight="14.5" x14ac:dyDescent="0.35"/>
  <cols>
    <col min="1" max="1" width="12.6328125" customWidth="1"/>
    <col min="2" max="31" width="14.6328125" customWidth="1"/>
  </cols>
  <sheetData>
    <row r="1" spans="1:31" ht="35" customHeight="1" x14ac:dyDescent="0.35">
      <c r="A1" s="231" t="s">
        <v>95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</row>
    <row r="2" spans="1:31" ht="22" customHeight="1" x14ac:dyDescent="0.35">
      <c r="A2" s="10" t="s">
        <v>72</v>
      </c>
      <c r="B2" s="11" t="s">
        <v>198</v>
      </c>
    </row>
    <row r="3" spans="1:31" ht="60" customHeight="1" thickBot="1" x14ac:dyDescent="0.4">
      <c r="A3" s="18" t="s">
        <v>73</v>
      </c>
      <c r="B3" s="15" t="s">
        <v>96</v>
      </c>
      <c r="C3" s="14" t="s">
        <v>97</v>
      </c>
      <c r="D3" s="40" t="s">
        <v>98</v>
      </c>
      <c r="E3" s="14" t="s">
        <v>99</v>
      </c>
      <c r="F3" s="14" t="s">
        <v>100</v>
      </c>
      <c r="G3" s="40" t="s">
        <v>101</v>
      </c>
      <c r="H3" s="40" t="s">
        <v>102</v>
      </c>
      <c r="I3" s="40" t="s">
        <v>103</v>
      </c>
      <c r="J3" s="14" t="s">
        <v>104</v>
      </c>
      <c r="K3" s="40" t="s">
        <v>105</v>
      </c>
      <c r="L3" s="14" t="s">
        <v>106</v>
      </c>
      <c r="M3" s="40" t="s">
        <v>107</v>
      </c>
      <c r="N3" s="14" t="s">
        <v>108</v>
      </c>
      <c r="O3" s="14" t="s">
        <v>109</v>
      </c>
      <c r="P3" s="40" t="s">
        <v>110</v>
      </c>
      <c r="Q3" s="40" t="s">
        <v>111</v>
      </c>
      <c r="R3" s="40" t="s">
        <v>112</v>
      </c>
      <c r="S3" s="40" t="s">
        <v>113</v>
      </c>
      <c r="T3" s="40" t="s">
        <v>114</v>
      </c>
      <c r="U3" s="14" t="s">
        <v>115</v>
      </c>
      <c r="V3" s="40" t="s">
        <v>116</v>
      </c>
      <c r="W3" s="40" t="s">
        <v>117</v>
      </c>
      <c r="X3" s="40" t="s">
        <v>118</v>
      </c>
      <c r="Y3" s="40" t="s">
        <v>119</v>
      </c>
      <c r="Z3" s="40" t="s">
        <v>120</v>
      </c>
      <c r="AA3" s="14" t="s">
        <v>121</v>
      </c>
      <c r="AB3" s="40" t="s">
        <v>122</v>
      </c>
      <c r="AC3" s="40" t="s">
        <v>123</v>
      </c>
      <c r="AD3" s="48" t="s">
        <v>124</v>
      </c>
      <c r="AE3" s="52" t="s">
        <v>125</v>
      </c>
    </row>
    <row r="4" spans="1:31" ht="16" customHeight="1" x14ac:dyDescent="0.35">
      <c r="A4" s="232" t="s">
        <v>126</v>
      </c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5"/>
      <c r="AE4" s="236"/>
    </row>
    <row r="5" spans="1:31" ht="18" customHeight="1" x14ac:dyDescent="0.35">
      <c r="A5" s="20" t="s">
        <v>0</v>
      </c>
      <c r="B5" s="41">
        <f>IFERROR(METRIQUES!B4/METRIQUES!C4,"—")</f>
        <v>0.49206349206349204</v>
      </c>
      <c r="C5" s="38">
        <f>IFERROR(METRIQUES!D4/METRIQUES!E4,"—")</f>
        <v>0.5</v>
      </c>
      <c r="D5" s="193"/>
      <c r="E5" s="38">
        <f>IFERROR(METRIQUES!F4/METRIQUES!G4,"—")</f>
        <v>1.2987012987012988E-2</v>
      </c>
      <c r="F5" s="38">
        <f>IFERROR(METRIQUES!H4/METRIQUES!I4,"—")</f>
        <v>0.98</v>
      </c>
      <c r="G5" s="39">
        <v>4</v>
      </c>
      <c r="H5" s="39">
        <v>0</v>
      </c>
      <c r="I5" s="39">
        <v>0</v>
      </c>
      <c r="J5" s="38">
        <f>IFERROR(1-(METRIQUES!K4/METRIQUES!J4),"—")</f>
        <v>0.38888888888888884</v>
      </c>
      <c r="K5" s="193">
        <v>1</v>
      </c>
      <c r="L5" s="38">
        <f>IFERROR(METRIQUES!L4/METRIQUES!M4,"—")</f>
        <v>0</v>
      </c>
      <c r="M5" s="39">
        <v>0</v>
      </c>
      <c r="N5" s="38" t="str">
        <f>IFERROR(METRIQUES!N4/METRIQUES!O4,"—")</f>
        <v>—</v>
      </c>
      <c r="O5" s="38">
        <f>IFERROR(METRIQUES!P4/METRIQUES!Q4,"—")</f>
        <v>0</v>
      </c>
      <c r="P5" s="39">
        <v>5</v>
      </c>
      <c r="Q5" s="39">
        <v>1</v>
      </c>
      <c r="R5" s="39">
        <v>0</v>
      </c>
      <c r="S5" s="39">
        <v>5</v>
      </c>
      <c r="T5" s="39">
        <v>1</v>
      </c>
      <c r="U5" s="38">
        <f>IFERROR(METRIQUES!R4/METRIQUES!S4,"—")</f>
        <v>1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8" t="str">
        <f>IFERROR(METRIQUES!T4/METRIQUES!U4,"—")</f>
        <v>—</v>
      </c>
      <c r="AB5" s="39">
        <v>0</v>
      </c>
      <c r="AC5" s="39">
        <v>0</v>
      </c>
      <c r="AD5" s="49">
        <v>0</v>
      </c>
      <c r="AE5" s="53">
        <v>0</v>
      </c>
    </row>
    <row r="6" spans="1:31" ht="18" customHeight="1" x14ac:dyDescent="0.35">
      <c r="A6" s="20" t="s">
        <v>1</v>
      </c>
      <c r="B6" s="41">
        <f>IFERROR(METRIQUES!B5/METRIQUES!C5,"—")</f>
        <v>0.53968253968253965</v>
      </c>
      <c r="C6" s="38">
        <f>IFERROR(METRIQUES!D5/METRIQUES!E5,"—")</f>
        <v>0.5</v>
      </c>
      <c r="D6" s="193" t="s">
        <v>279</v>
      </c>
      <c r="E6" s="38">
        <f>IFERROR(METRIQUES!F5/METRIQUES!G5,"—")</f>
        <v>1.2987012987012988E-2</v>
      </c>
      <c r="F6" s="38">
        <f>IFERROR(METRIQUES!H5/METRIQUES!I5,"—")</f>
        <v>0.98</v>
      </c>
      <c r="G6" s="39">
        <v>4</v>
      </c>
      <c r="H6" s="39">
        <v>0</v>
      </c>
      <c r="I6" s="39">
        <v>0</v>
      </c>
      <c r="J6" s="38">
        <f>IFERROR(1-(METRIQUES!K5/METRIQUES!J5),"—")</f>
        <v>0.38888888888888884</v>
      </c>
      <c r="K6" s="193">
        <v>1</v>
      </c>
      <c r="L6" s="38" t="str">
        <f>IFERROR(METRIQUES!L5/METRIQUES!M5,"—")</f>
        <v>—</v>
      </c>
      <c r="M6" s="39">
        <v>0</v>
      </c>
      <c r="N6" s="38" t="str">
        <f>IFERROR(METRIQUES!N5/METRIQUES!O5,"—")</f>
        <v>—</v>
      </c>
      <c r="O6" s="38">
        <f>IFERROR(METRIQUES!P5/METRIQUES!Q5,"—")</f>
        <v>0</v>
      </c>
      <c r="P6" s="39">
        <v>6</v>
      </c>
      <c r="Q6" s="39">
        <v>1</v>
      </c>
      <c r="R6" s="39">
        <v>0</v>
      </c>
      <c r="S6" s="39">
        <v>6</v>
      </c>
      <c r="T6" s="39">
        <v>1</v>
      </c>
      <c r="U6" s="38">
        <f>IFERROR(METRIQUES!R5/METRIQUES!S5,"—")</f>
        <v>1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8" t="str">
        <f>IFERROR(METRIQUES!T5/METRIQUES!U5,"—")</f>
        <v>—</v>
      </c>
      <c r="AB6" s="39">
        <v>0</v>
      </c>
      <c r="AC6" s="39">
        <v>0</v>
      </c>
      <c r="AD6" s="49">
        <v>0</v>
      </c>
      <c r="AE6" s="53">
        <v>0</v>
      </c>
    </row>
    <row r="7" spans="1:31" ht="18" customHeight="1" x14ac:dyDescent="0.35">
      <c r="A7" s="20" t="s">
        <v>2</v>
      </c>
      <c r="B7" s="41">
        <f>IFERROR(METRIQUES!B6/METRIQUES!C6,"—")</f>
        <v>0.53968253968253965</v>
      </c>
      <c r="C7" s="38">
        <f>IFERROR(METRIQUES!D6/METRIQUES!E6,"—")</f>
        <v>0.375</v>
      </c>
      <c r="D7" s="193" t="s">
        <v>279</v>
      </c>
      <c r="E7" s="38">
        <f>IFERROR(METRIQUES!F6/METRIQUES!G6,"—")</f>
        <v>1.2987012987012988E-2</v>
      </c>
      <c r="F7" s="38">
        <f>IFERROR(METRIQUES!H6/METRIQUES!I6,"—")</f>
        <v>0.98</v>
      </c>
      <c r="G7" s="39">
        <v>4</v>
      </c>
      <c r="H7" s="39">
        <v>0</v>
      </c>
      <c r="I7" s="39">
        <v>0</v>
      </c>
      <c r="J7" s="38">
        <f>IFERROR(1-(METRIQUES!K6/METRIQUES!J6),"—")</f>
        <v>0.38888888888888884</v>
      </c>
      <c r="K7" s="193">
        <v>1</v>
      </c>
      <c r="L7" s="38" t="str">
        <f>IFERROR(METRIQUES!L6/METRIQUES!M6,"—")</f>
        <v>—</v>
      </c>
      <c r="M7" s="39">
        <v>0</v>
      </c>
      <c r="N7" s="38" t="str">
        <f>IFERROR(METRIQUES!N6/METRIQUES!O6,"—")</f>
        <v>—</v>
      </c>
      <c r="O7" s="38">
        <f>IFERROR(METRIQUES!P6/METRIQUES!Q6,"—")</f>
        <v>0</v>
      </c>
      <c r="P7" s="39">
        <v>3</v>
      </c>
      <c r="Q7" s="39">
        <v>1</v>
      </c>
      <c r="R7" s="39">
        <v>0</v>
      </c>
      <c r="S7" s="39">
        <v>3</v>
      </c>
      <c r="T7" s="39">
        <v>1</v>
      </c>
      <c r="U7" s="38">
        <f>IFERROR(METRIQUES!R6/METRIQUES!S6,"—")</f>
        <v>1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8" t="str">
        <f>IFERROR(METRIQUES!T6/METRIQUES!U6,"—")</f>
        <v>—</v>
      </c>
      <c r="AB7" s="39">
        <v>0</v>
      </c>
      <c r="AC7" s="39">
        <v>0</v>
      </c>
      <c r="AD7" s="49">
        <v>0</v>
      </c>
      <c r="AE7" s="53">
        <v>0</v>
      </c>
    </row>
    <row r="8" spans="1:31" ht="18" customHeight="1" x14ac:dyDescent="0.35">
      <c r="A8" s="20" t="s">
        <v>3</v>
      </c>
      <c r="B8" s="41">
        <f>IFERROR(METRIQUES!B7/METRIQUES!C7,"—")</f>
        <v>0.55555555555555558</v>
      </c>
      <c r="C8" s="38">
        <f>IFERROR(METRIQUES!D7/METRIQUES!E7,"—")</f>
        <v>0.375</v>
      </c>
      <c r="D8" s="193" t="s">
        <v>279</v>
      </c>
      <c r="E8" s="38">
        <f>IFERROR(METRIQUES!F7/METRIQUES!G7,"—")</f>
        <v>1.2987012987012988E-2</v>
      </c>
      <c r="F8" s="38">
        <f>IFERROR(METRIQUES!H7/METRIQUES!I7,"—")</f>
        <v>0.98</v>
      </c>
      <c r="G8" s="39">
        <v>4</v>
      </c>
      <c r="H8" s="39">
        <v>0</v>
      </c>
      <c r="I8" s="39">
        <v>0</v>
      </c>
      <c r="J8" s="38">
        <f>IFERROR(1-(METRIQUES!K7/METRIQUES!J7),"—")</f>
        <v>0.38888888888888884</v>
      </c>
      <c r="K8" s="193">
        <v>0.9</v>
      </c>
      <c r="L8" s="38" t="str">
        <f>IFERROR(METRIQUES!L7/METRIQUES!M7,"—")</f>
        <v>—</v>
      </c>
      <c r="M8" s="39">
        <v>0</v>
      </c>
      <c r="N8" s="38" t="str">
        <f>IFERROR(METRIQUES!N7/METRIQUES!O7,"—")</f>
        <v>—</v>
      </c>
      <c r="O8" s="38">
        <f>IFERROR(METRIQUES!P7/METRIQUES!Q7,"—")</f>
        <v>0</v>
      </c>
      <c r="P8" s="39">
        <v>4</v>
      </c>
      <c r="Q8" s="39">
        <v>1</v>
      </c>
      <c r="R8" s="39">
        <v>0</v>
      </c>
      <c r="S8" s="39">
        <v>4</v>
      </c>
      <c r="T8" s="39">
        <v>1</v>
      </c>
      <c r="U8" s="38">
        <f>IFERROR(METRIQUES!R7/METRIQUES!S7,"—")</f>
        <v>1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8" t="str">
        <f>IFERROR(METRIQUES!T7/METRIQUES!U7,"—")</f>
        <v>—</v>
      </c>
      <c r="AB8" s="39">
        <v>0</v>
      </c>
      <c r="AC8" s="39">
        <v>0</v>
      </c>
      <c r="AD8" s="49">
        <v>0</v>
      </c>
      <c r="AE8" s="53">
        <v>0</v>
      </c>
    </row>
    <row r="9" spans="1:31" ht="18" customHeight="1" x14ac:dyDescent="0.35">
      <c r="A9" s="20" t="s">
        <v>4</v>
      </c>
      <c r="B9" s="41">
        <f>IFERROR(METRIQUES!B8/METRIQUES!C8,"—")</f>
        <v>0.55555555555555558</v>
      </c>
      <c r="C9" s="38">
        <f>IFERROR(METRIQUES!D8/METRIQUES!E8,"—")</f>
        <v>0.5</v>
      </c>
      <c r="D9" s="193" t="s">
        <v>279</v>
      </c>
      <c r="E9" s="38">
        <f>IFERROR(METRIQUES!F8/METRIQUES!G8,"—")</f>
        <v>1.2987012987012988E-2</v>
      </c>
      <c r="F9" s="38">
        <f>IFERROR(METRIQUES!H8/METRIQUES!I8,"—")</f>
        <v>0.98</v>
      </c>
      <c r="G9" s="39">
        <v>4</v>
      </c>
      <c r="H9" s="39">
        <v>0</v>
      </c>
      <c r="I9" s="39">
        <v>0</v>
      </c>
      <c r="J9" s="38">
        <f>IFERROR(1-(METRIQUES!K8/METRIQUES!J8),"—")</f>
        <v>0.38888888888888884</v>
      </c>
      <c r="K9" s="193">
        <v>0.9</v>
      </c>
      <c r="L9" s="38" t="str">
        <f>IFERROR(METRIQUES!L8/METRIQUES!M8,"—")</f>
        <v>—</v>
      </c>
      <c r="M9" s="39">
        <v>0</v>
      </c>
      <c r="N9" s="38" t="str">
        <f>IFERROR(METRIQUES!N8/METRIQUES!O8,"—")</f>
        <v>—</v>
      </c>
      <c r="O9" s="38">
        <f>IFERROR(METRIQUES!P8/METRIQUES!Q8,"—")</f>
        <v>0</v>
      </c>
      <c r="P9" s="39">
        <v>3</v>
      </c>
      <c r="Q9" s="39">
        <v>1</v>
      </c>
      <c r="R9" s="39">
        <v>0</v>
      </c>
      <c r="S9" s="39">
        <v>3</v>
      </c>
      <c r="T9" s="39">
        <v>1</v>
      </c>
      <c r="U9" s="38">
        <f>IFERROR(METRIQUES!R8/METRIQUES!S8,"—")</f>
        <v>1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8" t="str">
        <f>IFERROR(METRIQUES!T8/METRIQUES!U8,"—")</f>
        <v>—</v>
      </c>
      <c r="AB9" s="39">
        <v>0</v>
      </c>
      <c r="AC9" s="39">
        <v>0</v>
      </c>
      <c r="AD9" s="49">
        <v>0</v>
      </c>
      <c r="AE9" s="53">
        <v>0</v>
      </c>
    </row>
    <row r="10" spans="1:31" ht="18" customHeight="1" x14ac:dyDescent="0.35">
      <c r="A10" s="20" t="s">
        <v>5</v>
      </c>
      <c r="B10" s="41">
        <f>IFERROR(METRIQUES!B9/METRIQUES!C9,"—")</f>
        <v>0.55555555555555558</v>
      </c>
      <c r="C10" s="38">
        <f>IFERROR(METRIQUES!D9/METRIQUES!E9,"—")</f>
        <v>0.375</v>
      </c>
      <c r="D10" s="193" t="s">
        <v>279</v>
      </c>
      <c r="E10" s="38">
        <f>IFERROR(METRIQUES!F9/METRIQUES!G9,"—")</f>
        <v>1.2987012987012988E-2</v>
      </c>
      <c r="F10" s="38">
        <f>IFERROR(METRIQUES!H9/METRIQUES!I9,"—")</f>
        <v>0.98</v>
      </c>
      <c r="G10" s="39">
        <v>4</v>
      </c>
      <c r="H10" s="39">
        <v>0</v>
      </c>
      <c r="I10" s="39">
        <v>0</v>
      </c>
      <c r="J10" s="38">
        <f>IFERROR(1-(METRIQUES!K9/METRIQUES!J9),"—")</f>
        <v>0.38888888888888884</v>
      </c>
      <c r="K10" s="193">
        <v>0.9</v>
      </c>
      <c r="L10" s="38" t="str">
        <f>IFERROR(METRIQUES!L9/METRIQUES!M9,"—")</f>
        <v>—</v>
      </c>
      <c r="M10" s="39">
        <v>0</v>
      </c>
      <c r="N10" s="38" t="str">
        <f>IFERROR(METRIQUES!N9/METRIQUES!O9,"—")</f>
        <v>—</v>
      </c>
      <c r="O10" s="38">
        <f>IFERROR(METRIQUES!P9/METRIQUES!Q9,"—")</f>
        <v>0</v>
      </c>
      <c r="P10" s="39">
        <v>2</v>
      </c>
      <c r="Q10" s="39">
        <v>1</v>
      </c>
      <c r="R10" s="39">
        <v>0</v>
      </c>
      <c r="S10" s="39">
        <v>2</v>
      </c>
      <c r="T10" s="39">
        <v>1</v>
      </c>
      <c r="U10" s="38">
        <f>IFERROR(METRIQUES!R9/METRIQUES!S9,"—")</f>
        <v>1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8" t="str">
        <f>IFERROR(METRIQUES!T9/METRIQUES!U9,"—")</f>
        <v>—</v>
      </c>
      <c r="AB10" s="39">
        <v>0</v>
      </c>
      <c r="AC10" s="39">
        <v>0</v>
      </c>
      <c r="AD10" s="49">
        <v>0</v>
      </c>
      <c r="AE10" s="53">
        <v>0</v>
      </c>
    </row>
    <row r="11" spans="1:31" ht="18" customHeight="1" x14ac:dyDescent="0.35">
      <c r="A11" s="20" t="s">
        <v>6</v>
      </c>
      <c r="B11" s="41">
        <f>IFERROR(METRIQUES!B10/METRIQUES!C10,"—")</f>
        <v>0.55555555555555558</v>
      </c>
      <c r="C11" s="38">
        <f>IFERROR(METRIQUES!D10/METRIQUES!E10,"—")</f>
        <v>0.375</v>
      </c>
      <c r="D11" s="193" t="s">
        <v>279</v>
      </c>
      <c r="E11" s="38">
        <f>IFERROR(METRIQUES!F10/METRIQUES!G10,"—")</f>
        <v>1.2987012987012988E-2</v>
      </c>
      <c r="F11" s="38">
        <f>IFERROR(METRIQUES!H10/METRIQUES!I10,"—")</f>
        <v>0.99</v>
      </c>
      <c r="G11" s="39">
        <v>4</v>
      </c>
      <c r="H11" s="39">
        <v>0</v>
      </c>
      <c r="I11" s="39">
        <v>0</v>
      </c>
      <c r="J11" s="38">
        <f>IFERROR(1-(METRIQUES!K10/METRIQUES!J10),"—")</f>
        <v>0.375</v>
      </c>
      <c r="K11" s="193">
        <v>0.9</v>
      </c>
      <c r="L11" s="38" t="str">
        <f>IFERROR(METRIQUES!L10/METRIQUES!M10,"—")</f>
        <v>—</v>
      </c>
      <c r="M11" s="39">
        <v>0</v>
      </c>
      <c r="N11" s="38" t="str">
        <f>IFERROR(METRIQUES!N10/METRIQUES!O10,"—")</f>
        <v>—</v>
      </c>
      <c r="O11" s="38">
        <f>IFERROR(METRIQUES!P10/METRIQUES!Q10,"—")</f>
        <v>0</v>
      </c>
      <c r="P11" s="39">
        <v>5</v>
      </c>
      <c r="Q11" s="39">
        <v>0</v>
      </c>
      <c r="R11" s="39">
        <v>2</v>
      </c>
      <c r="S11" s="39">
        <v>5</v>
      </c>
      <c r="T11" s="39">
        <v>1</v>
      </c>
      <c r="U11" s="38">
        <f>IFERROR(METRIQUES!R10/METRIQUES!S10,"—")</f>
        <v>1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8" t="str">
        <f>IFERROR(METRIQUES!T10/METRIQUES!U10,"—")</f>
        <v>—</v>
      </c>
      <c r="AB11" s="39">
        <v>0</v>
      </c>
      <c r="AC11" s="39">
        <v>0</v>
      </c>
      <c r="AD11" s="49">
        <v>0</v>
      </c>
      <c r="AE11" s="53">
        <v>0</v>
      </c>
    </row>
    <row r="12" spans="1:31" ht="18" customHeight="1" x14ac:dyDescent="0.35">
      <c r="A12" s="20" t="s">
        <v>7</v>
      </c>
      <c r="B12" s="41">
        <f>IFERROR(METRIQUES!B11/METRIQUES!C11,"—")</f>
        <v>0.55555555555555558</v>
      </c>
      <c r="C12" s="38">
        <f>IFERROR(METRIQUES!D11/METRIQUES!E11,"—")</f>
        <v>0.5</v>
      </c>
      <c r="D12" s="193" t="s">
        <v>279</v>
      </c>
      <c r="E12" s="38">
        <f>IFERROR(METRIQUES!F11/METRIQUES!G11,"—")</f>
        <v>1.2987012987012988E-2</v>
      </c>
      <c r="F12" s="38">
        <f>IFERROR(METRIQUES!H11/METRIQUES!I11,"—")</f>
        <v>0.99</v>
      </c>
      <c r="G12" s="39">
        <v>4</v>
      </c>
      <c r="H12" s="39">
        <v>0</v>
      </c>
      <c r="I12" s="39">
        <v>0</v>
      </c>
      <c r="J12" s="38">
        <f>IFERROR(1-(METRIQUES!K11/METRIQUES!J11),"—")</f>
        <v>0.375</v>
      </c>
      <c r="K12" s="193">
        <v>0.9</v>
      </c>
      <c r="L12" s="38">
        <f>IFERROR(METRIQUES!L11/METRIQUES!M11,"—")</f>
        <v>0</v>
      </c>
      <c r="M12" s="39">
        <v>0</v>
      </c>
      <c r="N12" s="38" t="str">
        <f>IFERROR(METRIQUES!N11/METRIQUES!O11,"—")</f>
        <v>—</v>
      </c>
      <c r="O12" s="38">
        <f>IFERROR(METRIQUES!P11/METRIQUES!Q11,"—")</f>
        <v>0</v>
      </c>
      <c r="P12" s="39">
        <v>2</v>
      </c>
      <c r="Q12" s="39">
        <v>0</v>
      </c>
      <c r="R12" s="39">
        <v>0</v>
      </c>
      <c r="S12" s="39">
        <v>2</v>
      </c>
      <c r="T12" s="39">
        <v>1</v>
      </c>
      <c r="U12" s="38">
        <f>IFERROR(METRIQUES!R11/METRIQUES!S11,"—")</f>
        <v>1</v>
      </c>
      <c r="V12" s="39">
        <v>0</v>
      </c>
      <c r="W12" s="39">
        <v>0</v>
      </c>
      <c r="X12" s="39">
        <v>0</v>
      </c>
      <c r="Y12" s="39">
        <v>0</v>
      </c>
      <c r="Z12" s="39">
        <v>0</v>
      </c>
      <c r="AA12" s="38" t="str">
        <f>IFERROR(METRIQUES!T11/METRIQUES!U11,"—")</f>
        <v>—</v>
      </c>
      <c r="AB12" s="39">
        <v>0</v>
      </c>
      <c r="AC12" s="39">
        <v>0</v>
      </c>
      <c r="AD12" s="49">
        <v>0</v>
      </c>
      <c r="AE12" s="53">
        <v>0</v>
      </c>
    </row>
    <row r="13" spans="1:31" ht="18" customHeight="1" x14ac:dyDescent="0.35">
      <c r="A13" s="20" t="s">
        <v>8</v>
      </c>
      <c r="B13" s="41">
        <f>IFERROR(METRIQUES!B12/METRIQUES!C12,"—")</f>
        <v>0.55555555555555558</v>
      </c>
      <c r="C13" s="38">
        <f>IFERROR(METRIQUES!D12/METRIQUES!E12,"—")</f>
        <v>0.5</v>
      </c>
      <c r="D13" s="193" t="s">
        <v>279</v>
      </c>
      <c r="E13" s="38">
        <f>IFERROR(METRIQUES!F12/METRIQUES!G12,"—")</f>
        <v>1.2987012987012988E-2</v>
      </c>
      <c r="F13" s="38">
        <f>IFERROR(METRIQUES!H12/METRIQUES!I12,"—")</f>
        <v>0.9966666666666667</v>
      </c>
      <c r="G13" s="39">
        <v>4</v>
      </c>
      <c r="H13" s="39">
        <v>0</v>
      </c>
      <c r="I13" s="39">
        <v>0</v>
      </c>
      <c r="J13" s="38">
        <f>IFERROR(1-(METRIQUES!K12/METRIQUES!J12),"—")</f>
        <v>0.375</v>
      </c>
      <c r="K13" s="193">
        <v>0.9</v>
      </c>
      <c r="L13" s="38" t="str">
        <f>IFERROR(METRIQUES!L12/METRIQUES!M12,"—")</f>
        <v>—</v>
      </c>
      <c r="M13" s="39">
        <v>0</v>
      </c>
      <c r="N13" s="38" t="str">
        <f>IFERROR(METRIQUES!N12/METRIQUES!O12,"—")</f>
        <v>—</v>
      </c>
      <c r="O13" s="38">
        <f>IFERROR(METRIQUES!P12/METRIQUES!Q12,"—")</f>
        <v>0</v>
      </c>
      <c r="P13" s="39">
        <v>0</v>
      </c>
      <c r="Q13" s="39">
        <v>0</v>
      </c>
      <c r="R13" s="39">
        <v>0</v>
      </c>
      <c r="S13" s="39">
        <v>0</v>
      </c>
      <c r="T13" s="39">
        <v>0</v>
      </c>
      <c r="U13" s="38">
        <f>IFERROR(METRIQUES!R12/METRIQUES!S12,"—")</f>
        <v>1</v>
      </c>
      <c r="V13" s="39">
        <v>0</v>
      </c>
      <c r="W13" s="39">
        <v>0</v>
      </c>
      <c r="X13" s="39">
        <v>0</v>
      </c>
      <c r="Y13" s="39">
        <v>0</v>
      </c>
      <c r="Z13" s="39">
        <v>0</v>
      </c>
      <c r="AA13" s="38" t="str">
        <f>IFERROR(METRIQUES!T12/METRIQUES!U12,"—")</f>
        <v>—</v>
      </c>
      <c r="AB13" s="39">
        <v>0</v>
      </c>
      <c r="AC13" s="39">
        <v>0</v>
      </c>
      <c r="AD13" s="49">
        <v>0</v>
      </c>
      <c r="AE13" s="53">
        <v>0</v>
      </c>
    </row>
    <row r="14" spans="1:31" ht="18" customHeight="1" x14ac:dyDescent="0.35">
      <c r="A14" s="20" t="s">
        <v>9</v>
      </c>
      <c r="B14" s="41">
        <f>IFERROR(METRIQUES!B13/METRIQUES!C13,"—")</f>
        <v>0.55555555555555558</v>
      </c>
      <c r="C14" s="38">
        <f>IFERROR(METRIQUES!D13/METRIQUES!E13,"—")</f>
        <v>0.5</v>
      </c>
      <c r="D14" s="193">
        <v>0.3</v>
      </c>
      <c r="E14" s="38">
        <f>IFERROR(METRIQUES!F13/METRIQUES!G13,"—")</f>
        <v>1.2987012987012988E-2</v>
      </c>
      <c r="F14" s="38">
        <f>IFERROR(METRIQUES!H13/METRIQUES!I13,"—")</f>
        <v>0.9966666666666667</v>
      </c>
      <c r="G14" s="39">
        <v>4</v>
      </c>
      <c r="H14" s="39">
        <v>0</v>
      </c>
      <c r="I14" s="39">
        <v>0</v>
      </c>
      <c r="J14" s="38">
        <f>IFERROR(1-(METRIQUES!K13/METRIQUES!J13),"—")</f>
        <v>0.375</v>
      </c>
      <c r="K14" s="193">
        <v>0.9</v>
      </c>
      <c r="L14" s="38" t="str">
        <f>IFERROR(METRIQUES!L13/METRIQUES!M13,"—")</f>
        <v>—</v>
      </c>
      <c r="M14" s="39">
        <v>0</v>
      </c>
      <c r="N14" s="38" t="str">
        <f>IFERROR(METRIQUES!N13/METRIQUES!O13,"—")</f>
        <v>—</v>
      </c>
      <c r="O14" s="38">
        <f>IFERROR(METRIQUES!P13/METRIQUES!Q13,"—")</f>
        <v>0</v>
      </c>
      <c r="P14" s="39">
        <v>0</v>
      </c>
      <c r="Q14" s="39">
        <v>0</v>
      </c>
      <c r="R14" s="39">
        <v>0</v>
      </c>
      <c r="S14" s="39">
        <v>0</v>
      </c>
      <c r="T14" s="39">
        <v>0</v>
      </c>
      <c r="U14" s="38">
        <f>IFERROR(METRIQUES!R13/METRIQUES!S13,"—")</f>
        <v>1</v>
      </c>
      <c r="V14" s="39">
        <v>0</v>
      </c>
      <c r="W14" s="39">
        <v>0</v>
      </c>
      <c r="X14" s="39">
        <v>0</v>
      </c>
      <c r="Y14" s="39">
        <v>0</v>
      </c>
      <c r="Z14" s="39">
        <v>0</v>
      </c>
      <c r="AA14" s="38" t="str">
        <f>IFERROR(METRIQUES!T13/METRIQUES!U13,"—")</f>
        <v>—</v>
      </c>
      <c r="AB14" s="39">
        <v>0</v>
      </c>
      <c r="AC14" s="39">
        <v>0</v>
      </c>
      <c r="AD14" s="49">
        <v>0</v>
      </c>
      <c r="AE14" s="53">
        <v>0</v>
      </c>
    </row>
    <row r="15" spans="1:31" ht="18" customHeight="1" x14ac:dyDescent="0.35">
      <c r="A15" s="20" t="s">
        <v>10</v>
      </c>
      <c r="B15" s="41">
        <f>IFERROR(METRIQUES!B14/METRIQUES!C14,"—")</f>
        <v>0.87301587301587302</v>
      </c>
      <c r="C15" s="38">
        <f>IFERROR(METRIQUES!D14/METRIQUES!E14,"—")</f>
        <v>0.375</v>
      </c>
      <c r="D15" s="193">
        <v>0.3</v>
      </c>
      <c r="E15" s="38">
        <f>IFERROR(METRIQUES!F14/METRIQUES!G14,"—")</f>
        <v>1.2987012987012988E-2</v>
      </c>
      <c r="F15" s="38">
        <f>IFERROR(METRIQUES!H14/METRIQUES!I14,"—")</f>
        <v>1</v>
      </c>
      <c r="G15" s="39">
        <v>4</v>
      </c>
      <c r="H15" s="39">
        <v>0</v>
      </c>
      <c r="I15" s="39">
        <v>0</v>
      </c>
      <c r="J15" s="38">
        <f>IFERROR(1-(METRIQUES!K14/METRIQUES!J14),"—")</f>
        <v>0.36363636363636365</v>
      </c>
      <c r="K15" s="193">
        <v>0.9</v>
      </c>
      <c r="L15" s="38" t="str">
        <f>IFERROR(METRIQUES!L14/METRIQUES!M14,"—")</f>
        <v>—</v>
      </c>
      <c r="M15" s="39">
        <v>0</v>
      </c>
      <c r="N15" s="38" t="str">
        <f>IFERROR(METRIQUES!N14/METRIQUES!O14,"—")</f>
        <v>—</v>
      </c>
      <c r="O15" s="38">
        <f>IFERROR(METRIQUES!P14/METRIQUES!Q14,"—")</f>
        <v>0</v>
      </c>
      <c r="P15" s="39">
        <v>0</v>
      </c>
      <c r="Q15" s="39">
        <v>0</v>
      </c>
      <c r="R15" s="39">
        <v>0</v>
      </c>
      <c r="S15" s="39">
        <v>0</v>
      </c>
      <c r="T15" s="39">
        <v>0</v>
      </c>
      <c r="U15" s="38">
        <f>IFERROR(METRIQUES!R14/METRIQUES!S14,"—")</f>
        <v>1</v>
      </c>
      <c r="V15" s="39">
        <v>0</v>
      </c>
      <c r="W15" s="39">
        <v>0</v>
      </c>
      <c r="X15" s="39">
        <v>0</v>
      </c>
      <c r="Y15" s="39">
        <v>0</v>
      </c>
      <c r="Z15" s="39">
        <v>0</v>
      </c>
      <c r="AA15" s="38" t="str">
        <f>IFERROR(METRIQUES!T14/METRIQUES!U14,"—")</f>
        <v>—</v>
      </c>
      <c r="AB15" s="39">
        <v>0</v>
      </c>
      <c r="AC15" s="39">
        <v>0</v>
      </c>
      <c r="AD15" s="49">
        <v>0</v>
      </c>
      <c r="AE15" s="53">
        <v>0</v>
      </c>
    </row>
    <row r="16" spans="1:31" ht="18" customHeight="1" x14ac:dyDescent="0.35">
      <c r="A16" s="20" t="s">
        <v>11</v>
      </c>
      <c r="B16" s="41">
        <f>IFERROR(METRIQUES!B15/METRIQUES!C15,"—")</f>
        <v>0.95238095238095233</v>
      </c>
      <c r="C16" s="38">
        <f>IFERROR(METRIQUES!D15/METRIQUES!E15,"—")</f>
        <v>0.375</v>
      </c>
      <c r="D16" s="193">
        <v>0.3</v>
      </c>
      <c r="E16" s="38">
        <f>IFERROR(METRIQUES!F15/METRIQUES!G15,"—")</f>
        <v>1.2987012987012988E-2</v>
      </c>
      <c r="F16" s="38">
        <f>IFERROR(METRIQUES!H15/METRIQUES!I15,"—")</f>
        <v>1</v>
      </c>
      <c r="G16" s="39">
        <v>4</v>
      </c>
      <c r="H16" s="39">
        <v>0</v>
      </c>
      <c r="I16" s="39">
        <v>0</v>
      </c>
      <c r="J16" s="38">
        <f>IFERROR(1-(METRIQUES!K15/METRIQUES!J15),"—")</f>
        <v>0.36363636363636365</v>
      </c>
      <c r="K16" s="193">
        <v>0.9</v>
      </c>
      <c r="L16" s="38" t="str">
        <f>IFERROR(METRIQUES!L15/METRIQUES!M15,"—")</f>
        <v>—</v>
      </c>
      <c r="M16" s="39">
        <v>0</v>
      </c>
      <c r="N16" s="38" t="str">
        <f>IFERROR(METRIQUES!N15/METRIQUES!O15,"—")</f>
        <v>—</v>
      </c>
      <c r="O16" s="38">
        <f>IFERROR(METRIQUES!P15/METRIQUES!Q15,"—")</f>
        <v>0</v>
      </c>
      <c r="P16" s="39">
        <v>0</v>
      </c>
      <c r="Q16" s="39">
        <v>0</v>
      </c>
      <c r="R16" s="39">
        <v>0</v>
      </c>
      <c r="S16" s="39">
        <v>0</v>
      </c>
      <c r="T16" s="39">
        <v>0</v>
      </c>
      <c r="U16" s="38">
        <f>IFERROR(METRIQUES!R15/METRIQUES!S15,"—")</f>
        <v>1</v>
      </c>
      <c r="V16" s="39">
        <v>0</v>
      </c>
      <c r="W16" s="39">
        <v>0</v>
      </c>
      <c r="X16" s="39">
        <v>0</v>
      </c>
      <c r="Y16" s="39">
        <v>0</v>
      </c>
      <c r="Z16" s="39">
        <v>0</v>
      </c>
      <c r="AA16" s="38" t="str">
        <f>IFERROR(METRIQUES!T15/METRIQUES!U15,"—")</f>
        <v>—</v>
      </c>
      <c r="AB16" s="39">
        <v>0</v>
      </c>
      <c r="AC16" s="39">
        <v>0</v>
      </c>
      <c r="AD16" s="49">
        <v>0</v>
      </c>
      <c r="AE16" s="53">
        <v>0</v>
      </c>
    </row>
    <row r="17" spans="1:31" ht="18" customHeight="1" x14ac:dyDescent="0.35">
      <c r="A17" s="20" t="s">
        <v>12</v>
      </c>
      <c r="B17" s="41">
        <f>IFERROR(METRIQUES!B16/METRIQUES!C16,"—")</f>
        <v>0.95238095238095233</v>
      </c>
      <c r="C17" s="38">
        <f>IFERROR(METRIQUES!D16/METRIQUES!E16,"—")</f>
        <v>0.5</v>
      </c>
      <c r="D17" s="193">
        <v>0.3</v>
      </c>
      <c r="E17" s="38">
        <f>IFERROR(METRIQUES!F16/METRIQUES!G16,"—")</f>
        <v>1.2987012987012988E-2</v>
      </c>
      <c r="F17" s="38">
        <f>IFERROR(METRIQUES!H16/METRIQUES!I16,"—")</f>
        <v>1</v>
      </c>
      <c r="G17" s="39">
        <v>4</v>
      </c>
      <c r="H17" s="39">
        <v>0</v>
      </c>
      <c r="I17" s="39">
        <v>0</v>
      </c>
      <c r="J17" s="38">
        <f>IFERROR(1-(METRIQUES!K16/METRIQUES!J16),"—")</f>
        <v>0.30000000000000004</v>
      </c>
      <c r="K17" s="193">
        <v>0.9</v>
      </c>
      <c r="L17" s="38" t="str">
        <f>IFERROR(METRIQUES!L16/METRIQUES!M16,"—")</f>
        <v>—</v>
      </c>
      <c r="M17" s="39">
        <v>0</v>
      </c>
      <c r="N17" s="38" t="str">
        <f>IFERROR(METRIQUES!N16/METRIQUES!O16,"—")</f>
        <v>—</v>
      </c>
      <c r="O17" s="38">
        <f>IFERROR(METRIQUES!P16/METRIQUES!Q16,"—")</f>
        <v>0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  <c r="U17" s="38">
        <f>IFERROR(METRIQUES!R16/METRIQUES!S16,"—")</f>
        <v>1</v>
      </c>
      <c r="V17" s="39">
        <v>0</v>
      </c>
      <c r="W17" s="39">
        <v>0</v>
      </c>
      <c r="X17" s="39">
        <v>0</v>
      </c>
      <c r="Y17" s="39">
        <v>0</v>
      </c>
      <c r="Z17" s="39">
        <v>0</v>
      </c>
      <c r="AA17" s="38" t="str">
        <f>IFERROR(METRIQUES!T16/METRIQUES!U16,"—")</f>
        <v>—</v>
      </c>
      <c r="AB17" s="39">
        <v>0</v>
      </c>
      <c r="AC17" s="39">
        <v>0</v>
      </c>
      <c r="AD17" s="49">
        <v>0</v>
      </c>
      <c r="AE17" s="53">
        <v>0</v>
      </c>
    </row>
    <row r="18" spans="1:31" ht="18" customHeight="1" x14ac:dyDescent="0.35">
      <c r="A18" s="20" t="s">
        <v>13</v>
      </c>
      <c r="B18" s="41">
        <f>IFERROR(METRIQUES!B17/METRIQUES!C17,"—")</f>
        <v>1</v>
      </c>
      <c r="C18" s="38">
        <f>IFERROR(METRIQUES!D17/METRIQUES!E17,"—")</f>
        <v>0.5</v>
      </c>
      <c r="D18" s="193"/>
      <c r="E18" s="38">
        <f>IFERROR(METRIQUES!F17/METRIQUES!G17,"—")</f>
        <v>1.2987012987012988E-2</v>
      </c>
      <c r="F18" s="38">
        <f>IFERROR(METRIQUES!H17/METRIQUES!I17,"—")</f>
        <v>0.35153583617747441</v>
      </c>
      <c r="G18" s="39">
        <v>4</v>
      </c>
      <c r="H18" s="39">
        <v>0</v>
      </c>
      <c r="I18" s="39">
        <v>0</v>
      </c>
      <c r="J18" s="38">
        <f>IFERROR(1-(METRIQUES!K17/METRIQUES!J17),"—")</f>
        <v>0.30000000000000004</v>
      </c>
      <c r="K18" s="193">
        <v>0.9</v>
      </c>
      <c r="L18" s="38" t="str">
        <f>IFERROR(METRIQUES!L17/METRIQUES!M17,"—")</f>
        <v>—</v>
      </c>
      <c r="M18" s="39">
        <v>0</v>
      </c>
      <c r="N18" s="38" t="str">
        <f>IFERROR(METRIQUES!N17/METRIQUES!O17,"—")</f>
        <v>—</v>
      </c>
      <c r="O18" s="38">
        <f>IFERROR(METRIQUES!P17/METRIQUES!Q17,"—")</f>
        <v>0</v>
      </c>
      <c r="P18" s="39">
        <v>0</v>
      </c>
      <c r="Q18" s="39">
        <v>0</v>
      </c>
      <c r="R18" s="39">
        <v>0</v>
      </c>
      <c r="S18" s="39">
        <v>0</v>
      </c>
      <c r="T18" s="39">
        <v>0</v>
      </c>
      <c r="U18" s="38">
        <f>IFERROR(METRIQUES!R17/METRIQUES!S17,"—")</f>
        <v>1</v>
      </c>
      <c r="V18" s="39">
        <v>0</v>
      </c>
      <c r="W18" s="39">
        <v>0</v>
      </c>
      <c r="X18" s="39">
        <v>0</v>
      </c>
      <c r="Y18" s="39">
        <v>0</v>
      </c>
      <c r="Z18" s="39">
        <v>0</v>
      </c>
      <c r="AA18" s="38" t="str">
        <f>IFERROR(METRIQUES!T17/METRIQUES!U17,"—")</f>
        <v>—</v>
      </c>
      <c r="AB18" s="39"/>
      <c r="AC18" s="39"/>
      <c r="AD18" s="49"/>
      <c r="AE18" s="53"/>
    </row>
    <row r="19" spans="1:31" ht="18" customHeight="1" x14ac:dyDescent="0.35">
      <c r="A19" s="20" t="s">
        <v>14</v>
      </c>
      <c r="B19" s="41">
        <f>IFERROR(METRIQUES!B18/METRIQUES!C18,"—")</f>
        <v>1</v>
      </c>
      <c r="C19" s="38">
        <f>IFERROR(METRIQUES!D18/METRIQUES!E18,"—")</f>
        <v>0.5</v>
      </c>
      <c r="D19" s="193"/>
      <c r="E19" s="38">
        <f>IFERROR(METRIQUES!F18/METRIQUES!G18,"—")</f>
        <v>1.2987012987012988E-2</v>
      </c>
      <c r="F19" s="38">
        <f>IFERROR(METRIQUES!H18/METRIQUES!I18,"—")</f>
        <v>0.66894197952218426</v>
      </c>
      <c r="G19" s="39"/>
      <c r="H19" s="39"/>
      <c r="I19" s="39"/>
      <c r="J19" s="38">
        <f>IFERROR(1-(METRIQUES!K18/METRIQUES!J18),"—")</f>
        <v>0.30000000000000004</v>
      </c>
      <c r="K19" s="39"/>
      <c r="L19" s="38" t="str">
        <f>IFERROR(METRIQUES!L18/METRIQUES!M18,"—")</f>
        <v>—</v>
      </c>
      <c r="M19" s="39"/>
      <c r="N19" s="38" t="str">
        <f>IFERROR(METRIQUES!N18/METRIQUES!O18,"—")</f>
        <v>—</v>
      </c>
      <c r="O19" s="38">
        <f>IFERROR(METRIQUES!P18/METRIQUES!Q18,"—")</f>
        <v>0</v>
      </c>
      <c r="P19" s="39"/>
      <c r="Q19" s="39"/>
      <c r="R19" s="39"/>
      <c r="S19" s="39"/>
      <c r="T19" s="39"/>
      <c r="U19" s="38">
        <f>IFERROR(METRIQUES!R18/METRIQUES!S18,"—")</f>
        <v>1</v>
      </c>
      <c r="V19" s="39"/>
      <c r="W19" s="39"/>
      <c r="X19" s="39"/>
      <c r="Y19" s="39"/>
      <c r="Z19" s="39"/>
      <c r="AA19" s="38" t="str">
        <f>IFERROR(METRIQUES!T18/METRIQUES!U18,"—")</f>
        <v>—</v>
      </c>
      <c r="AB19" s="39"/>
      <c r="AC19" s="39"/>
      <c r="AD19" s="49"/>
      <c r="AE19" s="53"/>
    </row>
    <row r="20" spans="1:31" ht="18" customHeight="1" x14ac:dyDescent="0.35">
      <c r="A20" s="20" t="s">
        <v>15</v>
      </c>
      <c r="B20" s="41" t="str">
        <f>IFERROR(METRIQUES!B19/METRIQUES!C19,"—")</f>
        <v>—</v>
      </c>
      <c r="C20" s="38" t="str">
        <f>IFERROR(METRIQUES!D19/METRIQUES!E19,"—")</f>
        <v>—</v>
      </c>
      <c r="D20" s="39"/>
      <c r="E20" s="38" t="str">
        <f>IFERROR(METRIQUES!F19/METRIQUES!G19,"—")</f>
        <v>—</v>
      </c>
      <c r="F20" s="38" t="str">
        <f>IFERROR(METRIQUES!H19/METRIQUES!I19,"—")</f>
        <v>—</v>
      </c>
      <c r="G20" s="39"/>
      <c r="H20" s="39"/>
      <c r="I20" s="39"/>
      <c r="J20" s="38" t="str">
        <f>IFERROR(1-(METRIQUES!K19/METRIQUES!J19),"—")</f>
        <v>—</v>
      </c>
      <c r="K20" s="39"/>
      <c r="L20" s="38" t="str">
        <f>IFERROR(METRIQUES!L19/METRIQUES!M19,"—")</f>
        <v>—</v>
      </c>
      <c r="M20" s="39"/>
      <c r="N20" s="38" t="str">
        <f>IFERROR(METRIQUES!N19/METRIQUES!O19,"—")</f>
        <v>—</v>
      </c>
      <c r="O20" s="38" t="str">
        <f>IFERROR(METRIQUES!P19/METRIQUES!Q19,"—")</f>
        <v>—</v>
      </c>
      <c r="P20" s="39"/>
      <c r="Q20" s="39"/>
      <c r="R20" s="39"/>
      <c r="S20" s="39"/>
      <c r="T20" s="39"/>
      <c r="U20" s="38" t="str">
        <f>IFERROR(METRIQUES!R19/METRIQUES!S19,"—")</f>
        <v>—</v>
      </c>
      <c r="V20" s="39"/>
      <c r="W20" s="39"/>
      <c r="X20" s="39"/>
      <c r="Y20" s="39"/>
      <c r="Z20" s="39"/>
      <c r="AA20" s="38" t="str">
        <f>IFERROR(METRIQUES!T19/METRIQUES!U19,"—")</f>
        <v>—</v>
      </c>
      <c r="AB20" s="39"/>
      <c r="AC20" s="39"/>
      <c r="AD20" s="49"/>
      <c r="AE20" s="53"/>
    </row>
    <row r="21" spans="1:31" ht="18" customHeight="1" x14ac:dyDescent="0.35">
      <c r="A21" s="20" t="s">
        <v>16</v>
      </c>
      <c r="B21" s="41" t="str">
        <f>IFERROR(METRIQUES!B20/METRIQUES!C20,"—")</f>
        <v>—</v>
      </c>
      <c r="C21" s="38" t="str">
        <f>IFERROR(METRIQUES!D20/METRIQUES!E20,"—")</f>
        <v>—</v>
      </c>
      <c r="D21" s="39"/>
      <c r="E21" s="38" t="str">
        <f>IFERROR(METRIQUES!F20/METRIQUES!G20,"—")</f>
        <v>—</v>
      </c>
      <c r="F21" s="38" t="str">
        <f>IFERROR(METRIQUES!H20/METRIQUES!I20,"—")</f>
        <v>—</v>
      </c>
      <c r="G21" s="39"/>
      <c r="H21" s="39"/>
      <c r="I21" s="39"/>
      <c r="J21" s="38" t="str">
        <f>IFERROR(1-(METRIQUES!K20/METRIQUES!J20),"—")</f>
        <v>—</v>
      </c>
      <c r="K21" s="39"/>
      <c r="L21" s="38" t="str">
        <f>IFERROR(METRIQUES!L20/METRIQUES!M20,"—")</f>
        <v>—</v>
      </c>
      <c r="M21" s="39"/>
      <c r="N21" s="38" t="str">
        <f>IFERROR(METRIQUES!N20/METRIQUES!O20,"—")</f>
        <v>—</v>
      </c>
      <c r="O21" s="38" t="str">
        <f>IFERROR(METRIQUES!P20/METRIQUES!Q20,"—")</f>
        <v>—</v>
      </c>
      <c r="P21" s="39"/>
      <c r="Q21" s="39"/>
      <c r="R21" s="39"/>
      <c r="S21" s="39"/>
      <c r="T21" s="39"/>
      <c r="U21" s="38" t="str">
        <f>IFERROR(METRIQUES!R20/METRIQUES!S20,"—")</f>
        <v>—</v>
      </c>
      <c r="V21" s="39"/>
      <c r="W21" s="39"/>
      <c r="X21" s="39"/>
      <c r="Y21" s="39"/>
      <c r="Z21" s="39"/>
      <c r="AA21" s="38" t="str">
        <f>IFERROR(METRIQUES!T20/METRIQUES!U20,"—")</f>
        <v>—</v>
      </c>
      <c r="AB21" s="39"/>
      <c r="AC21" s="39"/>
      <c r="AD21" s="49"/>
      <c r="AE21" s="53"/>
    </row>
    <row r="22" spans="1:31" ht="18" customHeight="1" x14ac:dyDescent="0.35">
      <c r="A22" s="20" t="s">
        <v>17</v>
      </c>
      <c r="B22" s="41" t="str">
        <f>IFERROR(METRIQUES!B21/METRIQUES!C21,"—")</f>
        <v>—</v>
      </c>
      <c r="C22" s="38" t="str">
        <f>IFERROR(METRIQUES!D21/METRIQUES!E21,"—")</f>
        <v>—</v>
      </c>
      <c r="D22" s="39"/>
      <c r="E22" s="38" t="str">
        <f>IFERROR(METRIQUES!F21/METRIQUES!G21,"—")</f>
        <v>—</v>
      </c>
      <c r="F22" s="38" t="str">
        <f>IFERROR(METRIQUES!H21/METRIQUES!I21,"—")</f>
        <v>—</v>
      </c>
      <c r="G22" s="39"/>
      <c r="H22" s="39"/>
      <c r="I22" s="39"/>
      <c r="J22" s="38" t="str">
        <f>IFERROR(1-(METRIQUES!K21/METRIQUES!J21),"—")</f>
        <v>—</v>
      </c>
      <c r="K22" s="39"/>
      <c r="L22" s="38" t="str">
        <f>IFERROR(METRIQUES!L21/METRIQUES!M21,"—")</f>
        <v>—</v>
      </c>
      <c r="M22" s="39"/>
      <c r="N22" s="38" t="str">
        <f>IFERROR(METRIQUES!N21/METRIQUES!O21,"—")</f>
        <v>—</v>
      </c>
      <c r="O22" s="38" t="str">
        <f>IFERROR(METRIQUES!P21/METRIQUES!Q21,"—")</f>
        <v>—</v>
      </c>
      <c r="P22" s="39"/>
      <c r="Q22" s="39"/>
      <c r="R22" s="39"/>
      <c r="S22" s="39"/>
      <c r="T22" s="39"/>
      <c r="U22" s="38" t="str">
        <f>IFERROR(METRIQUES!R21/METRIQUES!S21,"—")</f>
        <v>—</v>
      </c>
      <c r="V22" s="39"/>
      <c r="W22" s="39"/>
      <c r="X22" s="39"/>
      <c r="Y22" s="39"/>
      <c r="Z22" s="39"/>
      <c r="AA22" s="38" t="str">
        <f>IFERROR(METRIQUES!T21/METRIQUES!U21,"—")</f>
        <v>—</v>
      </c>
      <c r="AB22" s="39"/>
      <c r="AC22" s="39"/>
      <c r="AD22" s="49"/>
      <c r="AE22" s="53"/>
    </row>
    <row r="23" spans="1:31" ht="18" customHeight="1" x14ac:dyDescent="0.35">
      <c r="A23" s="20" t="s">
        <v>18</v>
      </c>
      <c r="B23" s="41" t="str">
        <f>IFERROR(METRIQUES!B22/METRIQUES!C22,"—")</f>
        <v>—</v>
      </c>
      <c r="C23" s="38" t="str">
        <f>IFERROR(METRIQUES!D22/METRIQUES!E22,"—")</f>
        <v>—</v>
      </c>
      <c r="D23" s="39"/>
      <c r="E23" s="38" t="str">
        <f>IFERROR(METRIQUES!F22/METRIQUES!G22,"—")</f>
        <v>—</v>
      </c>
      <c r="F23" s="38" t="str">
        <f>IFERROR(METRIQUES!H22/METRIQUES!I22,"—")</f>
        <v>—</v>
      </c>
      <c r="G23" s="39"/>
      <c r="H23" s="39"/>
      <c r="I23" s="39"/>
      <c r="J23" s="38" t="str">
        <f>IFERROR(1-(METRIQUES!K22/METRIQUES!J22),"—")</f>
        <v>—</v>
      </c>
      <c r="K23" s="39"/>
      <c r="L23" s="38" t="str">
        <f>IFERROR(METRIQUES!L22/METRIQUES!M22,"—")</f>
        <v>—</v>
      </c>
      <c r="M23" s="39"/>
      <c r="N23" s="38" t="str">
        <f>IFERROR(METRIQUES!N22/METRIQUES!O22,"—")</f>
        <v>—</v>
      </c>
      <c r="O23" s="38" t="str">
        <f>IFERROR(METRIQUES!P22/METRIQUES!Q22,"—")</f>
        <v>—</v>
      </c>
      <c r="P23" s="39"/>
      <c r="Q23" s="39"/>
      <c r="R23" s="39"/>
      <c r="S23" s="39"/>
      <c r="T23" s="39"/>
      <c r="U23" s="38" t="str">
        <f>IFERROR(METRIQUES!R22/METRIQUES!S22,"—")</f>
        <v>—</v>
      </c>
      <c r="V23" s="39"/>
      <c r="W23" s="39"/>
      <c r="X23" s="39"/>
      <c r="Y23" s="39"/>
      <c r="Z23" s="39"/>
      <c r="AA23" s="38" t="str">
        <f>IFERROR(METRIQUES!T22/METRIQUES!U22,"—")</f>
        <v>—</v>
      </c>
      <c r="AB23" s="39"/>
      <c r="AC23" s="39"/>
      <c r="AD23" s="49"/>
      <c r="AE23" s="53"/>
    </row>
    <row r="24" spans="1:31" ht="18" customHeight="1" x14ac:dyDescent="0.35">
      <c r="A24" s="20" t="s">
        <v>19</v>
      </c>
      <c r="B24" s="41" t="str">
        <f>IFERROR(METRIQUES!B23/METRIQUES!C23,"—")</f>
        <v>—</v>
      </c>
      <c r="C24" s="38" t="str">
        <f>IFERROR(METRIQUES!D23/METRIQUES!E23,"—")</f>
        <v>—</v>
      </c>
      <c r="D24" s="39"/>
      <c r="E24" s="38" t="str">
        <f>IFERROR(METRIQUES!F23/METRIQUES!G23,"—")</f>
        <v>—</v>
      </c>
      <c r="F24" s="38" t="str">
        <f>IFERROR(METRIQUES!H23/METRIQUES!I23,"—")</f>
        <v>—</v>
      </c>
      <c r="G24" s="39"/>
      <c r="H24" s="39"/>
      <c r="I24" s="39"/>
      <c r="J24" s="38" t="str">
        <f>IFERROR(1-(METRIQUES!K23/METRIQUES!J23),"—")</f>
        <v>—</v>
      </c>
      <c r="K24" s="39"/>
      <c r="L24" s="38" t="str">
        <f>IFERROR(METRIQUES!L23/METRIQUES!M23,"—")</f>
        <v>—</v>
      </c>
      <c r="M24" s="39"/>
      <c r="N24" s="38" t="str">
        <f>IFERROR(METRIQUES!N23/METRIQUES!O23,"—")</f>
        <v>—</v>
      </c>
      <c r="O24" s="38" t="str">
        <f>IFERROR(METRIQUES!P23/METRIQUES!Q23,"—")</f>
        <v>—</v>
      </c>
      <c r="P24" s="39"/>
      <c r="Q24" s="39"/>
      <c r="R24" s="39"/>
      <c r="S24" s="39"/>
      <c r="T24" s="39"/>
      <c r="U24" s="38" t="str">
        <f>IFERROR(METRIQUES!R23/METRIQUES!S23,"—")</f>
        <v>—</v>
      </c>
      <c r="V24" s="39"/>
      <c r="W24" s="39"/>
      <c r="X24" s="39"/>
      <c r="Y24" s="39"/>
      <c r="Z24" s="39"/>
      <c r="AA24" s="38" t="str">
        <f>IFERROR(METRIQUES!T23/METRIQUES!U23,"—")</f>
        <v>—</v>
      </c>
      <c r="AB24" s="39"/>
      <c r="AC24" s="39"/>
      <c r="AD24" s="49"/>
      <c r="AE24" s="53"/>
    </row>
    <row r="25" spans="1:31" ht="18" customHeight="1" x14ac:dyDescent="0.35">
      <c r="A25" s="20" t="s">
        <v>20</v>
      </c>
      <c r="B25" s="41" t="str">
        <f>IFERROR(METRIQUES!B24/METRIQUES!C24,"—")</f>
        <v>—</v>
      </c>
      <c r="C25" s="38" t="str">
        <f>IFERROR(METRIQUES!D24/METRIQUES!E24,"—")</f>
        <v>—</v>
      </c>
      <c r="D25" s="39"/>
      <c r="E25" s="38" t="str">
        <f>IFERROR(METRIQUES!F24/METRIQUES!G24,"—")</f>
        <v>—</v>
      </c>
      <c r="F25" s="38" t="str">
        <f>IFERROR(METRIQUES!H24/METRIQUES!I24,"—")</f>
        <v>—</v>
      </c>
      <c r="G25" s="39"/>
      <c r="H25" s="39"/>
      <c r="I25" s="39"/>
      <c r="J25" s="38" t="str">
        <f>IFERROR(1-(METRIQUES!K24/METRIQUES!J24),"—")</f>
        <v>—</v>
      </c>
      <c r="K25" s="39"/>
      <c r="L25" s="38" t="str">
        <f>IFERROR(METRIQUES!L24/METRIQUES!M24,"—")</f>
        <v>—</v>
      </c>
      <c r="M25" s="39"/>
      <c r="N25" s="38" t="str">
        <f>IFERROR(METRIQUES!N24/METRIQUES!O24,"—")</f>
        <v>—</v>
      </c>
      <c r="O25" s="38" t="str">
        <f>IFERROR(METRIQUES!P24/METRIQUES!Q24,"—")</f>
        <v>—</v>
      </c>
      <c r="P25" s="39"/>
      <c r="Q25" s="39"/>
      <c r="R25" s="39"/>
      <c r="S25" s="39"/>
      <c r="T25" s="39"/>
      <c r="U25" s="38" t="str">
        <f>IFERROR(METRIQUES!R24/METRIQUES!S24,"—")</f>
        <v>—</v>
      </c>
      <c r="V25" s="39"/>
      <c r="W25" s="39"/>
      <c r="X25" s="39"/>
      <c r="Y25" s="39"/>
      <c r="Z25" s="39"/>
      <c r="AA25" s="38" t="str">
        <f>IFERROR(METRIQUES!T24/METRIQUES!U24,"—")</f>
        <v>—</v>
      </c>
      <c r="AB25" s="39"/>
      <c r="AC25" s="39"/>
      <c r="AD25" s="49"/>
      <c r="AE25" s="53"/>
    </row>
    <row r="26" spans="1:31" ht="18" customHeight="1" x14ac:dyDescent="0.35">
      <c r="A26" s="20" t="s">
        <v>21</v>
      </c>
      <c r="B26" s="41" t="str">
        <f>IFERROR(METRIQUES!B25/METRIQUES!C25,"—")</f>
        <v>—</v>
      </c>
      <c r="C26" s="38" t="str">
        <f>IFERROR(METRIQUES!D25/METRIQUES!E25,"—")</f>
        <v>—</v>
      </c>
      <c r="D26" s="39"/>
      <c r="E26" s="38" t="str">
        <f>IFERROR(METRIQUES!F25/METRIQUES!G25,"—")</f>
        <v>—</v>
      </c>
      <c r="F26" s="38" t="str">
        <f>IFERROR(METRIQUES!H25/METRIQUES!I25,"—")</f>
        <v>—</v>
      </c>
      <c r="G26" s="39"/>
      <c r="H26" s="39"/>
      <c r="I26" s="39"/>
      <c r="J26" s="38" t="str">
        <f>IFERROR(1-(METRIQUES!K25/METRIQUES!J25),"—")</f>
        <v>—</v>
      </c>
      <c r="K26" s="39"/>
      <c r="L26" s="38" t="str">
        <f>IFERROR(METRIQUES!L25/METRIQUES!M25,"—")</f>
        <v>—</v>
      </c>
      <c r="M26" s="39"/>
      <c r="N26" s="38" t="str">
        <f>IFERROR(METRIQUES!N25/METRIQUES!O25,"—")</f>
        <v>—</v>
      </c>
      <c r="O26" s="38" t="str">
        <f>IFERROR(METRIQUES!P25/METRIQUES!Q25,"—")</f>
        <v>—</v>
      </c>
      <c r="P26" s="39"/>
      <c r="Q26" s="39"/>
      <c r="R26" s="39"/>
      <c r="S26" s="39"/>
      <c r="T26" s="39"/>
      <c r="U26" s="38" t="str">
        <f>IFERROR(METRIQUES!R25/METRIQUES!S25,"—")</f>
        <v>—</v>
      </c>
      <c r="V26" s="39"/>
      <c r="W26" s="39"/>
      <c r="X26" s="39"/>
      <c r="Y26" s="39"/>
      <c r="Z26" s="39"/>
      <c r="AA26" s="38" t="str">
        <f>IFERROR(METRIQUES!T25/METRIQUES!U25,"—")</f>
        <v>—</v>
      </c>
      <c r="AB26" s="39"/>
      <c r="AC26" s="39"/>
      <c r="AD26" s="49"/>
      <c r="AE26" s="53"/>
    </row>
    <row r="27" spans="1:31" ht="18" customHeight="1" x14ac:dyDescent="0.35">
      <c r="A27" s="20" t="s">
        <v>22</v>
      </c>
      <c r="B27" s="41" t="str">
        <f>IFERROR(METRIQUES!B26/METRIQUES!C26,"—")</f>
        <v>—</v>
      </c>
      <c r="C27" s="38" t="str">
        <f>IFERROR(METRIQUES!D26/METRIQUES!E26,"—")</f>
        <v>—</v>
      </c>
      <c r="D27" s="39"/>
      <c r="E27" s="38" t="str">
        <f>IFERROR(METRIQUES!F26/METRIQUES!G26,"—")</f>
        <v>—</v>
      </c>
      <c r="F27" s="38" t="str">
        <f>IFERROR(METRIQUES!H26/METRIQUES!I26,"—")</f>
        <v>—</v>
      </c>
      <c r="G27" s="39"/>
      <c r="H27" s="39"/>
      <c r="I27" s="39"/>
      <c r="J27" s="38" t="str">
        <f>IFERROR(1-(METRIQUES!K26/METRIQUES!J26),"—")</f>
        <v>—</v>
      </c>
      <c r="K27" s="39"/>
      <c r="L27" s="38" t="str">
        <f>IFERROR(METRIQUES!L26/METRIQUES!M26,"—")</f>
        <v>—</v>
      </c>
      <c r="M27" s="39"/>
      <c r="N27" s="38" t="str">
        <f>IFERROR(METRIQUES!N26/METRIQUES!O26,"—")</f>
        <v>—</v>
      </c>
      <c r="O27" s="38" t="str">
        <f>IFERROR(METRIQUES!P26/METRIQUES!Q26,"—")</f>
        <v>—</v>
      </c>
      <c r="P27" s="39"/>
      <c r="Q27" s="39"/>
      <c r="R27" s="39"/>
      <c r="S27" s="39"/>
      <c r="T27" s="39"/>
      <c r="U27" s="38" t="str">
        <f>IFERROR(METRIQUES!R26/METRIQUES!S26,"—")</f>
        <v>—</v>
      </c>
      <c r="V27" s="39"/>
      <c r="W27" s="39"/>
      <c r="X27" s="39"/>
      <c r="Y27" s="39"/>
      <c r="Z27" s="39"/>
      <c r="AA27" s="38" t="str">
        <f>IFERROR(METRIQUES!T26/METRIQUES!U26,"—")</f>
        <v>—</v>
      </c>
      <c r="AB27" s="39"/>
      <c r="AC27" s="39"/>
      <c r="AD27" s="49"/>
      <c r="AE27" s="53"/>
    </row>
    <row r="28" spans="1:31" ht="18" customHeight="1" x14ac:dyDescent="0.35">
      <c r="A28" s="20" t="s">
        <v>23</v>
      </c>
      <c r="B28" s="41" t="str">
        <f>IFERROR(METRIQUES!B27/METRIQUES!C27,"—")</f>
        <v>—</v>
      </c>
      <c r="C28" s="38" t="str">
        <f>IFERROR(METRIQUES!D27/METRIQUES!E27,"—")</f>
        <v>—</v>
      </c>
      <c r="D28" s="39"/>
      <c r="E28" s="38" t="str">
        <f>IFERROR(METRIQUES!F27/METRIQUES!G27,"—")</f>
        <v>—</v>
      </c>
      <c r="F28" s="38" t="str">
        <f>IFERROR(METRIQUES!H27/METRIQUES!I27,"—")</f>
        <v>—</v>
      </c>
      <c r="G28" s="39"/>
      <c r="H28" s="39"/>
      <c r="I28" s="39"/>
      <c r="J28" s="38" t="str">
        <f>IFERROR(1-(METRIQUES!K27/METRIQUES!J27),"—")</f>
        <v>—</v>
      </c>
      <c r="K28" s="39"/>
      <c r="L28" s="38" t="str">
        <f>IFERROR(METRIQUES!L27/METRIQUES!M27,"—")</f>
        <v>—</v>
      </c>
      <c r="M28" s="39"/>
      <c r="N28" s="38" t="str">
        <f>IFERROR(METRIQUES!N27/METRIQUES!O27,"—")</f>
        <v>—</v>
      </c>
      <c r="O28" s="38" t="str">
        <f>IFERROR(METRIQUES!P27/METRIQUES!Q27,"—")</f>
        <v>—</v>
      </c>
      <c r="P28" s="39"/>
      <c r="Q28" s="39"/>
      <c r="R28" s="39"/>
      <c r="S28" s="39"/>
      <c r="T28" s="39"/>
      <c r="U28" s="38" t="str">
        <f>IFERROR(METRIQUES!R27/METRIQUES!S27,"—")</f>
        <v>—</v>
      </c>
      <c r="V28" s="39"/>
      <c r="W28" s="39"/>
      <c r="X28" s="39"/>
      <c r="Y28" s="39"/>
      <c r="Z28" s="39"/>
      <c r="AA28" s="38" t="str">
        <f>IFERROR(METRIQUES!T27/METRIQUES!U27,"—")</f>
        <v>—</v>
      </c>
      <c r="AB28" s="39"/>
      <c r="AC28" s="39"/>
      <c r="AD28" s="49"/>
      <c r="AE28" s="53"/>
    </row>
    <row r="29" spans="1:31" ht="18" customHeight="1" x14ac:dyDescent="0.35">
      <c r="A29" s="20" t="s">
        <v>24</v>
      </c>
      <c r="B29" s="41" t="str">
        <f>IFERROR(METRIQUES!B28/METRIQUES!C28,"—")</f>
        <v>—</v>
      </c>
      <c r="C29" s="38" t="str">
        <f>IFERROR(METRIQUES!D28/METRIQUES!E28,"—")</f>
        <v>—</v>
      </c>
      <c r="D29" s="39"/>
      <c r="E29" s="38" t="str">
        <f>IFERROR(METRIQUES!F28/METRIQUES!G28,"—")</f>
        <v>—</v>
      </c>
      <c r="F29" s="38" t="str">
        <f>IFERROR(METRIQUES!H28/METRIQUES!I28,"—")</f>
        <v>—</v>
      </c>
      <c r="G29" s="39"/>
      <c r="H29" s="39"/>
      <c r="I29" s="39"/>
      <c r="J29" s="38" t="str">
        <f>IFERROR(1-(METRIQUES!K28/METRIQUES!J28),"—")</f>
        <v>—</v>
      </c>
      <c r="K29" s="39"/>
      <c r="L29" s="38" t="str">
        <f>IFERROR(METRIQUES!L28/METRIQUES!M28,"—")</f>
        <v>—</v>
      </c>
      <c r="M29" s="39"/>
      <c r="N29" s="38" t="str">
        <f>IFERROR(METRIQUES!N28/METRIQUES!O28,"—")</f>
        <v>—</v>
      </c>
      <c r="O29" s="38" t="str">
        <f>IFERROR(METRIQUES!P28/METRIQUES!Q28,"—")</f>
        <v>—</v>
      </c>
      <c r="P29" s="39"/>
      <c r="Q29" s="39"/>
      <c r="R29" s="39"/>
      <c r="S29" s="39"/>
      <c r="T29" s="39"/>
      <c r="U29" s="38" t="str">
        <f>IFERROR(METRIQUES!R28/METRIQUES!S28,"—")</f>
        <v>—</v>
      </c>
      <c r="V29" s="39"/>
      <c r="W29" s="39"/>
      <c r="X29" s="39"/>
      <c r="Y29" s="39"/>
      <c r="Z29" s="39"/>
      <c r="AA29" s="38" t="str">
        <f>IFERROR(METRIQUES!T28/METRIQUES!U28,"—")</f>
        <v>—</v>
      </c>
      <c r="AB29" s="39"/>
      <c r="AC29" s="39"/>
      <c r="AD29" s="49"/>
      <c r="AE29" s="53"/>
    </row>
    <row r="30" spans="1:31" ht="18" customHeight="1" x14ac:dyDescent="0.35">
      <c r="A30" s="20" t="s">
        <v>25</v>
      </c>
      <c r="B30" s="41" t="str">
        <f>IFERROR(METRIQUES!B29/METRIQUES!C29,"—")</f>
        <v>—</v>
      </c>
      <c r="C30" s="38" t="str">
        <f>IFERROR(METRIQUES!D29/METRIQUES!E29,"—")</f>
        <v>—</v>
      </c>
      <c r="D30" s="39"/>
      <c r="E30" s="38" t="str">
        <f>IFERROR(METRIQUES!F29/METRIQUES!G29,"—")</f>
        <v>—</v>
      </c>
      <c r="F30" s="38" t="str">
        <f>IFERROR(METRIQUES!H29/METRIQUES!I29,"—")</f>
        <v>—</v>
      </c>
      <c r="G30" s="39"/>
      <c r="H30" s="39"/>
      <c r="I30" s="39"/>
      <c r="J30" s="38" t="str">
        <f>IFERROR(1-(METRIQUES!K29/METRIQUES!J29),"—")</f>
        <v>—</v>
      </c>
      <c r="K30" s="39"/>
      <c r="L30" s="38" t="str">
        <f>IFERROR(METRIQUES!L29/METRIQUES!M29,"—")</f>
        <v>—</v>
      </c>
      <c r="M30" s="39"/>
      <c r="N30" s="38" t="str">
        <f>IFERROR(METRIQUES!N29/METRIQUES!O29,"—")</f>
        <v>—</v>
      </c>
      <c r="O30" s="38" t="str">
        <f>IFERROR(METRIQUES!P29/METRIQUES!Q29,"—")</f>
        <v>—</v>
      </c>
      <c r="P30" s="39"/>
      <c r="Q30" s="39"/>
      <c r="R30" s="39"/>
      <c r="S30" s="39"/>
      <c r="T30" s="39"/>
      <c r="U30" s="38" t="str">
        <f>IFERROR(METRIQUES!R29/METRIQUES!S29,"—")</f>
        <v>—</v>
      </c>
      <c r="V30" s="39"/>
      <c r="W30" s="39"/>
      <c r="X30" s="39"/>
      <c r="Y30" s="39"/>
      <c r="Z30" s="39"/>
      <c r="AA30" s="38" t="str">
        <f>IFERROR(METRIQUES!T29/METRIQUES!U29,"—")</f>
        <v>—</v>
      </c>
      <c r="AB30" s="39"/>
      <c r="AC30" s="39"/>
      <c r="AD30" s="49"/>
      <c r="AE30" s="53"/>
    </row>
    <row r="31" spans="1:31" ht="18" customHeight="1" x14ac:dyDescent="0.35">
      <c r="A31" s="20" t="s">
        <v>26</v>
      </c>
      <c r="B31" s="41" t="str">
        <f>IFERROR(METRIQUES!B30/METRIQUES!C30,"—")</f>
        <v>—</v>
      </c>
      <c r="C31" s="38" t="str">
        <f>IFERROR(METRIQUES!D30/METRIQUES!E30,"—")</f>
        <v>—</v>
      </c>
      <c r="D31" s="39"/>
      <c r="E31" s="38" t="str">
        <f>IFERROR(METRIQUES!F30/METRIQUES!G30,"—")</f>
        <v>—</v>
      </c>
      <c r="F31" s="38" t="str">
        <f>IFERROR(METRIQUES!H30/METRIQUES!I30,"—")</f>
        <v>—</v>
      </c>
      <c r="G31" s="39"/>
      <c r="H31" s="39"/>
      <c r="I31" s="39"/>
      <c r="J31" s="38" t="str">
        <f>IFERROR(1-(METRIQUES!K30/METRIQUES!J30),"—")</f>
        <v>—</v>
      </c>
      <c r="K31" s="39"/>
      <c r="L31" s="38" t="str">
        <f>IFERROR(METRIQUES!L30/METRIQUES!M30,"—")</f>
        <v>—</v>
      </c>
      <c r="M31" s="39"/>
      <c r="N31" s="38" t="str">
        <f>IFERROR(METRIQUES!N30/METRIQUES!O30,"—")</f>
        <v>—</v>
      </c>
      <c r="O31" s="38" t="str">
        <f>IFERROR(METRIQUES!P30/METRIQUES!Q30,"—")</f>
        <v>—</v>
      </c>
      <c r="P31" s="39"/>
      <c r="Q31" s="39"/>
      <c r="R31" s="39"/>
      <c r="S31" s="39"/>
      <c r="T31" s="39"/>
      <c r="U31" s="38" t="str">
        <f>IFERROR(METRIQUES!R30/METRIQUES!S30,"—")</f>
        <v>—</v>
      </c>
      <c r="V31" s="39"/>
      <c r="W31" s="39"/>
      <c r="X31" s="39"/>
      <c r="Y31" s="39"/>
      <c r="Z31" s="39"/>
      <c r="AA31" s="38" t="str">
        <f>IFERROR(METRIQUES!T30/METRIQUES!U30,"—")</f>
        <v>—</v>
      </c>
      <c r="AB31" s="39"/>
      <c r="AC31" s="39"/>
      <c r="AD31" s="49"/>
      <c r="AE31" s="53"/>
    </row>
    <row r="32" spans="1:31" ht="18" customHeight="1" x14ac:dyDescent="0.35">
      <c r="A32" s="20" t="s">
        <v>27</v>
      </c>
      <c r="B32" s="41" t="str">
        <f>IFERROR(METRIQUES!B31/METRIQUES!C31,"—")</f>
        <v>—</v>
      </c>
      <c r="C32" s="38" t="str">
        <f>IFERROR(METRIQUES!D31/METRIQUES!E31,"—")</f>
        <v>—</v>
      </c>
      <c r="D32" s="39"/>
      <c r="E32" s="38" t="str">
        <f>IFERROR(METRIQUES!F31/METRIQUES!G31,"—")</f>
        <v>—</v>
      </c>
      <c r="F32" s="38" t="str">
        <f>IFERROR(METRIQUES!H31/METRIQUES!I31,"—")</f>
        <v>—</v>
      </c>
      <c r="G32" s="39"/>
      <c r="H32" s="39"/>
      <c r="I32" s="39"/>
      <c r="J32" s="38" t="str">
        <f>IFERROR(1-(METRIQUES!K31/METRIQUES!J31),"—")</f>
        <v>—</v>
      </c>
      <c r="K32" s="39"/>
      <c r="L32" s="38" t="str">
        <f>IFERROR(METRIQUES!L31/METRIQUES!M31,"—")</f>
        <v>—</v>
      </c>
      <c r="M32" s="39"/>
      <c r="N32" s="38" t="str">
        <f>IFERROR(METRIQUES!N31/METRIQUES!O31,"—")</f>
        <v>—</v>
      </c>
      <c r="O32" s="38" t="str">
        <f>IFERROR(METRIQUES!P31/METRIQUES!Q31,"—")</f>
        <v>—</v>
      </c>
      <c r="P32" s="39"/>
      <c r="Q32" s="39"/>
      <c r="R32" s="39"/>
      <c r="S32" s="39"/>
      <c r="T32" s="39"/>
      <c r="U32" s="38" t="str">
        <f>IFERROR(METRIQUES!R31/METRIQUES!S31,"—")</f>
        <v>—</v>
      </c>
      <c r="V32" s="39"/>
      <c r="W32" s="39"/>
      <c r="X32" s="39"/>
      <c r="Y32" s="39"/>
      <c r="Z32" s="39"/>
      <c r="AA32" s="38" t="str">
        <f>IFERROR(METRIQUES!T31/METRIQUES!U31,"—")</f>
        <v>—</v>
      </c>
      <c r="AB32" s="39"/>
      <c r="AC32" s="39"/>
      <c r="AD32" s="49"/>
      <c r="AE32" s="53"/>
    </row>
    <row r="33" spans="1:31" ht="18" customHeight="1" x14ac:dyDescent="0.35">
      <c r="A33" s="20" t="s">
        <v>28</v>
      </c>
      <c r="B33" s="41" t="str">
        <f>IFERROR(METRIQUES!B32/METRIQUES!C32,"—")</f>
        <v>—</v>
      </c>
      <c r="C33" s="38" t="str">
        <f>IFERROR(METRIQUES!D32/METRIQUES!E32,"—")</f>
        <v>—</v>
      </c>
      <c r="D33" s="39"/>
      <c r="E33" s="38" t="str">
        <f>IFERROR(METRIQUES!F32/METRIQUES!G32,"—")</f>
        <v>—</v>
      </c>
      <c r="F33" s="38" t="str">
        <f>IFERROR(METRIQUES!H32/METRIQUES!I32,"—")</f>
        <v>—</v>
      </c>
      <c r="G33" s="39"/>
      <c r="H33" s="39"/>
      <c r="I33" s="39"/>
      <c r="J33" s="38" t="str">
        <f>IFERROR(1-(METRIQUES!K32/METRIQUES!J32),"—")</f>
        <v>—</v>
      </c>
      <c r="K33" s="39"/>
      <c r="L33" s="38" t="str">
        <f>IFERROR(METRIQUES!L32/METRIQUES!M32,"—")</f>
        <v>—</v>
      </c>
      <c r="M33" s="39"/>
      <c r="N33" s="38" t="str">
        <f>IFERROR(METRIQUES!N32/METRIQUES!O32,"—")</f>
        <v>—</v>
      </c>
      <c r="O33" s="38" t="str">
        <f>IFERROR(METRIQUES!P32/METRIQUES!Q32,"—")</f>
        <v>—</v>
      </c>
      <c r="P33" s="39"/>
      <c r="Q33" s="39"/>
      <c r="R33" s="39"/>
      <c r="S33" s="39"/>
      <c r="T33" s="39"/>
      <c r="U33" s="38" t="str">
        <f>IFERROR(METRIQUES!R32/METRIQUES!S32,"—")</f>
        <v>—</v>
      </c>
      <c r="V33" s="39"/>
      <c r="W33" s="39"/>
      <c r="X33" s="39"/>
      <c r="Y33" s="39"/>
      <c r="Z33" s="39"/>
      <c r="AA33" s="38" t="str">
        <f>IFERROR(METRIQUES!T32/METRIQUES!U32,"—")</f>
        <v>—</v>
      </c>
      <c r="AB33" s="39"/>
      <c r="AC33" s="39"/>
      <c r="AD33" s="49"/>
      <c r="AE33" s="53"/>
    </row>
    <row r="34" spans="1:31" ht="18" customHeight="1" x14ac:dyDescent="0.35">
      <c r="A34" s="20" t="s">
        <v>29</v>
      </c>
      <c r="B34" s="41" t="str">
        <f>IFERROR(METRIQUES!B33/METRIQUES!C33,"—")</f>
        <v>—</v>
      </c>
      <c r="C34" s="38" t="str">
        <f>IFERROR(METRIQUES!D33/METRIQUES!E33,"—")</f>
        <v>—</v>
      </c>
      <c r="D34" s="39"/>
      <c r="E34" s="38" t="str">
        <f>IFERROR(METRIQUES!F33/METRIQUES!G33,"—")</f>
        <v>—</v>
      </c>
      <c r="F34" s="38" t="str">
        <f>IFERROR(METRIQUES!H33/METRIQUES!I33,"—")</f>
        <v>—</v>
      </c>
      <c r="G34" s="39"/>
      <c r="H34" s="39"/>
      <c r="I34" s="39"/>
      <c r="J34" s="38" t="str">
        <f>IFERROR(1-(METRIQUES!K33/METRIQUES!J33),"—")</f>
        <v>—</v>
      </c>
      <c r="K34" s="39"/>
      <c r="L34" s="38" t="str">
        <f>IFERROR(METRIQUES!L33/METRIQUES!M33,"—")</f>
        <v>—</v>
      </c>
      <c r="M34" s="39"/>
      <c r="N34" s="38" t="str">
        <f>IFERROR(METRIQUES!N33/METRIQUES!O33,"—")</f>
        <v>—</v>
      </c>
      <c r="O34" s="38" t="str">
        <f>IFERROR(METRIQUES!P33/METRIQUES!Q33,"—")</f>
        <v>—</v>
      </c>
      <c r="P34" s="39"/>
      <c r="Q34" s="39"/>
      <c r="R34" s="39"/>
      <c r="S34" s="39"/>
      <c r="T34" s="39"/>
      <c r="U34" s="38" t="str">
        <f>IFERROR(METRIQUES!R33/METRIQUES!S33,"—")</f>
        <v>—</v>
      </c>
      <c r="V34" s="39"/>
      <c r="W34" s="39"/>
      <c r="X34" s="39"/>
      <c r="Y34" s="39"/>
      <c r="Z34" s="39"/>
      <c r="AA34" s="38" t="str">
        <f>IFERROR(METRIQUES!T33/METRIQUES!U33,"—")</f>
        <v>—</v>
      </c>
      <c r="AB34" s="39"/>
      <c r="AC34" s="39"/>
      <c r="AD34" s="49"/>
      <c r="AE34" s="53"/>
    </row>
    <row r="35" spans="1:31" ht="18" customHeight="1" x14ac:dyDescent="0.35">
      <c r="A35" s="20" t="s">
        <v>30</v>
      </c>
      <c r="B35" s="41" t="str">
        <f>IFERROR(METRIQUES!B34/METRIQUES!C34,"—")</f>
        <v>—</v>
      </c>
      <c r="C35" s="38" t="str">
        <f>IFERROR(METRIQUES!D34/METRIQUES!E34,"—")</f>
        <v>—</v>
      </c>
      <c r="D35" s="39"/>
      <c r="E35" s="38" t="str">
        <f>IFERROR(METRIQUES!F34/METRIQUES!G34,"—")</f>
        <v>—</v>
      </c>
      <c r="F35" s="38" t="str">
        <f>IFERROR(METRIQUES!H34/METRIQUES!I34,"—")</f>
        <v>—</v>
      </c>
      <c r="G35" s="39"/>
      <c r="H35" s="39"/>
      <c r="I35" s="39"/>
      <c r="J35" s="38" t="str">
        <f>IFERROR(1-(METRIQUES!K34/METRIQUES!J34),"—")</f>
        <v>—</v>
      </c>
      <c r="K35" s="39"/>
      <c r="L35" s="38" t="str">
        <f>IFERROR(METRIQUES!L34/METRIQUES!M34,"—")</f>
        <v>—</v>
      </c>
      <c r="M35" s="39"/>
      <c r="N35" s="38" t="str">
        <f>IFERROR(METRIQUES!N34/METRIQUES!O34,"—")</f>
        <v>—</v>
      </c>
      <c r="O35" s="38" t="str">
        <f>IFERROR(METRIQUES!P34/METRIQUES!Q34,"—")</f>
        <v>—</v>
      </c>
      <c r="P35" s="39"/>
      <c r="Q35" s="39"/>
      <c r="R35" s="39"/>
      <c r="S35" s="39"/>
      <c r="T35" s="39"/>
      <c r="U35" s="38" t="str">
        <f>IFERROR(METRIQUES!R34/METRIQUES!S34,"—")</f>
        <v>—</v>
      </c>
      <c r="V35" s="39"/>
      <c r="W35" s="39"/>
      <c r="X35" s="39"/>
      <c r="Y35" s="39"/>
      <c r="Z35" s="39"/>
      <c r="AA35" s="38" t="str">
        <f>IFERROR(METRIQUES!T34/METRIQUES!U34,"—")</f>
        <v>—</v>
      </c>
      <c r="AB35" s="39"/>
      <c r="AC35" s="39"/>
      <c r="AD35" s="49"/>
      <c r="AE35" s="53"/>
    </row>
    <row r="36" spans="1:31" ht="18" customHeight="1" x14ac:dyDescent="0.35">
      <c r="A36" s="20" t="s">
        <v>31</v>
      </c>
      <c r="B36" s="41" t="str">
        <f>IFERROR(METRIQUES!B35/METRIQUES!C35,"—")</f>
        <v>—</v>
      </c>
      <c r="C36" s="38" t="str">
        <f>IFERROR(METRIQUES!D35/METRIQUES!E35,"—")</f>
        <v>—</v>
      </c>
      <c r="D36" s="39"/>
      <c r="E36" s="38" t="str">
        <f>IFERROR(METRIQUES!F35/METRIQUES!G35,"—")</f>
        <v>—</v>
      </c>
      <c r="F36" s="38" t="str">
        <f>IFERROR(METRIQUES!H35/METRIQUES!I35,"—")</f>
        <v>—</v>
      </c>
      <c r="G36" s="39"/>
      <c r="H36" s="39"/>
      <c r="I36" s="39"/>
      <c r="J36" s="38" t="str">
        <f>IFERROR(1-(METRIQUES!K35/METRIQUES!J35),"—")</f>
        <v>—</v>
      </c>
      <c r="K36" s="39"/>
      <c r="L36" s="38" t="str">
        <f>IFERROR(METRIQUES!L35/METRIQUES!M35,"—")</f>
        <v>—</v>
      </c>
      <c r="M36" s="39"/>
      <c r="N36" s="38" t="str">
        <f>IFERROR(METRIQUES!N35/METRIQUES!O35,"—")</f>
        <v>—</v>
      </c>
      <c r="O36" s="38" t="str">
        <f>IFERROR(METRIQUES!P35/METRIQUES!Q35,"—")</f>
        <v>—</v>
      </c>
      <c r="P36" s="39"/>
      <c r="Q36" s="39"/>
      <c r="R36" s="39"/>
      <c r="S36" s="39"/>
      <c r="T36" s="39"/>
      <c r="U36" s="38" t="str">
        <f>IFERROR(METRIQUES!R35/METRIQUES!S35,"—")</f>
        <v>—</v>
      </c>
      <c r="V36" s="39"/>
      <c r="W36" s="39"/>
      <c r="X36" s="39"/>
      <c r="Y36" s="39"/>
      <c r="Z36" s="39"/>
      <c r="AA36" s="38" t="str">
        <f>IFERROR(METRIQUES!T35/METRIQUES!U35,"—")</f>
        <v>—</v>
      </c>
      <c r="AB36" s="39"/>
      <c r="AC36" s="39"/>
      <c r="AD36" s="49"/>
      <c r="AE36" s="53"/>
    </row>
    <row r="37" spans="1:31" ht="18" customHeight="1" x14ac:dyDescent="0.35">
      <c r="A37" s="20" t="s">
        <v>32</v>
      </c>
      <c r="B37" s="41" t="str">
        <f>IFERROR(METRIQUES!B36/METRIQUES!C36,"—")</f>
        <v>—</v>
      </c>
      <c r="C37" s="38" t="str">
        <f>IFERROR(METRIQUES!D36/METRIQUES!E36,"—")</f>
        <v>—</v>
      </c>
      <c r="D37" s="39"/>
      <c r="E37" s="38" t="str">
        <f>IFERROR(METRIQUES!F36/METRIQUES!G36,"—")</f>
        <v>—</v>
      </c>
      <c r="F37" s="38" t="str">
        <f>IFERROR(METRIQUES!H36/METRIQUES!I36,"—")</f>
        <v>—</v>
      </c>
      <c r="G37" s="39"/>
      <c r="H37" s="39"/>
      <c r="I37" s="39"/>
      <c r="J37" s="38" t="str">
        <f>IFERROR(1-(METRIQUES!K36/METRIQUES!J36),"—")</f>
        <v>—</v>
      </c>
      <c r="K37" s="39"/>
      <c r="L37" s="38" t="str">
        <f>IFERROR(METRIQUES!L36/METRIQUES!M36,"—")</f>
        <v>—</v>
      </c>
      <c r="M37" s="39"/>
      <c r="N37" s="38" t="str">
        <f>IFERROR(METRIQUES!N36/METRIQUES!O36,"—")</f>
        <v>—</v>
      </c>
      <c r="O37" s="38" t="str">
        <f>IFERROR(METRIQUES!P36/METRIQUES!Q36,"—")</f>
        <v>—</v>
      </c>
      <c r="P37" s="39"/>
      <c r="Q37" s="39"/>
      <c r="R37" s="39"/>
      <c r="S37" s="39"/>
      <c r="T37" s="39"/>
      <c r="U37" s="38" t="str">
        <f>IFERROR(METRIQUES!R36/METRIQUES!S36,"—")</f>
        <v>—</v>
      </c>
      <c r="V37" s="39"/>
      <c r="W37" s="39"/>
      <c r="X37" s="39"/>
      <c r="Y37" s="39"/>
      <c r="Z37" s="39"/>
      <c r="AA37" s="38" t="str">
        <f>IFERROR(METRIQUES!T36/METRIQUES!U36,"—")</f>
        <v>—</v>
      </c>
      <c r="AB37" s="39"/>
      <c r="AC37" s="39"/>
      <c r="AD37" s="49"/>
      <c r="AE37" s="53"/>
    </row>
    <row r="38" spans="1:31" ht="18" customHeight="1" x14ac:dyDescent="0.35">
      <c r="A38" s="20" t="s">
        <v>33</v>
      </c>
      <c r="B38" s="41" t="str">
        <f>IFERROR(METRIQUES!B37/METRIQUES!C37,"—")</f>
        <v>—</v>
      </c>
      <c r="C38" s="38" t="str">
        <f>IFERROR(METRIQUES!D37/METRIQUES!E37,"—")</f>
        <v>—</v>
      </c>
      <c r="D38" s="39"/>
      <c r="E38" s="38" t="str">
        <f>IFERROR(METRIQUES!F37/METRIQUES!G37,"—")</f>
        <v>—</v>
      </c>
      <c r="F38" s="38" t="str">
        <f>IFERROR(METRIQUES!H37/METRIQUES!I37,"—")</f>
        <v>—</v>
      </c>
      <c r="G38" s="39"/>
      <c r="H38" s="39"/>
      <c r="I38" s="39"/>
      <c r="J38" s="38" t="str">
        <f>IFERROR(1-(METRIQUES!K37/METRIQUES!J37),"—")</f>
        <v>—</v>
      </c>
      <c r="K38" s="39"/>
      <c r="L38" s="38" t="str">
        <f>IFERROR(METRIQUES!L37/METRIQUES!M37,"—")</f>
        <v>—</v>
      </c>
      <c r="M38" s="39"/>
      <c r="N38" s="38" t="str">
        <f>IFERROR(METRIQUES!N37/METRIQUES!O37,"—")</f>
        <v>—</v>
      </c>
      <c r="O38" s="38" t="str">
        <f>IFERROR(METRIQUES!P37/METRIQUES!Q37,"—")</f>
        <v>—</v>
      </c>
      <c r="P38" s="39"/>
      <c r="Q38" s="39"/>
      <c r="R38" s="39"/>
      <c r="S38" s="39"/>
      <c r="T38" s="39"/>
      <c r="U38" s="38" t="str">
        <f>IFERROR(METRIQUES!R37/METRIQUES!S37,"—")</f>
        <v>—</v>
      </c>
      <c r="V38" s="39"/>
      <c r="W38" s="39"/>
      <c r="X38" s="39"/>
      <c r="Y38" s="39"/>
      <c r="Z38" s="39"/>
      <c r="AA38" s="38" t="str">
        <f>IFERROR(METRIQUES!T37/METRIQUES!U37,"—")</f>
        <v>—</v>
      </c>
      <c r="AB38" s="39"/>
      <c r="AC38" s="39"/>
      <c r="AD38" s="49"/>
      <c r="AE38" s="53"/>
    </row>
    <row r="39" spans="1:31" ht="18" customHeight="1" x14ac:dyDescent="0.35">
      <c r="A39" s="20" t="s">
        <v>34</v>
      </c>
      <c r="B39" s="41" t="str">
        <f>IFERROR(METRIQUES!B38/METRIQUES!C38,"—")</f>
        <v>—</v>
      </c>
      <c r="C39" s="38" t="str">
        <f>IFERROR(METRIQUES!D38/METRIQUES!E38,"—")</f>
        <v>—</v>
      </c>
      <c r="D39" s="39"/>
      <c r="E39" s="38" t="str">
        <f>IFERROR(METRIQUES!F38/METRIQUES!G38,"—")</f>
        <v>—</v>
      </c>
      <c r="F39" s="38" t="str">
        <f>IFERROR(METRIQUES!H38/METRIQUES!I38,"—")</f>
        <v>—</v>
      </c>
      <c r="G39" s="39"/>
      <c r="H39" s="39"/>
      <c r="I39" s="39"/>
      <c r="J39" s="38" t="str">
        <f>IFERROR(1-(METRIQUES!K38/METRIQUES!J38),"—")</f>
        <v>—</v>
      </c>
      <c r="K39" s="39"/>
      <c r="L39" s="38" t="str">
        <f>IFERROR(METRIQUES!L38/METRIQUES!M38,"—")</f>
        <v>—</v>
      </c>
      <c r="M39" s="39"/>
      <c r="N39" s="38" t="str">
        <f>IFERROR(METRIQUES!N38/METRIQUES!O38,"—")</f>
        <v>—</v>
      </c>
      <c r="O39" s="38" t="str">
        <f>IFERROR(METRIQUES!P38/METRIQUES!Q38,"—")</f>
        <v>—</v>
      </c>
      <c r="P39" s="39"/>
      <c r="Q39" s="39"/>
      <c r="R39" s="39"/>
      <c r="S39" s="39"/>
      <c r="T39" s="39"/>
      <c r="U39" s="38" t="str">
        <f>IFERROR(METRIQUES!R38/METRIQUES!S38,"—")</f>
        <v>—</v>
      </c>
      <c r="V39" s="39"/>
      <c r="W39" s="39"/>
      <c r="X39" s="39"/>
      <c r="Y39" s="39"/>
      <c r="Z39" s="39"/>
      <c r="AA39" s="38" t="str">
        <f>IFERROR(METRIQUES!T38/METRIQUES!U38,"—")</f>
        <v>—</v>
      </c>
      <c r="AB39" s="39"/>
      <c r="AC39" s="39"/>
      <c r="AD39" s="49"/>
      <c r="AE39" s="53"/>
    </row>
    <row r="40" spans="1:31" ht="18" customHeight="1" x14ac:dyDescent="0.35">
      <c r="A40" s="20" t="s">
        <v>35</v>
      </c>
      <c r="B40" s="41" t="str">
        <f>IFERROR(METRIQUES!B39/METRIQUES!C39,"—")</f>
        <v>—</v>
      </c>
      <c r="C40" s="38" t="str">
        <f>IFERROR(METRIQUES!D39/METRIQUES!E39,"—")</f>
        <v>—</v>
      </c>
      <c r="D40" s="39"/>
      <c r="E40" s="38" t="str">
        <f>IFERROR(METRIQUES!F39/METRIQUES!G39,"—")</f>
        <v>—</v>
      </c>
      <c r="F40" s="38" t="str">
        <f>IFERROR(METRIQUES!H39/METRIQUES!I39,"—")</f>
        <v>—</v>
      </c>
      <c r="G40" s="39"/>
      <c r="H40" s="39"/>
      <c r="I40" s="39"/>
      <c r="J40" s="38" t="str">
        <f>IFERROR(1-(METRIQUES!K39/METRIQUES!J39),"—")</f>
        <v>—</v>
      </c>
      <c r="K40" s="39"/>
      <c r="L40" s="38" t="str">
        <f>IFERROR(METRIQUES!L39/METRIQUES!M39,"—")</f>
        <v>—</v>
      </c>
      <c r="M40" s="39"/>
      <c r="N40" s="38" t="str">
        <f>IFERROR(METRIQUES!N39/METRIQUES!O39,"—")</f>
        <v>—</v>
      </c>
      <c r="O40" s="38" t="str">
        <f>IFERROR(METRIQUES!P39/METRIQUES!Q39,"—")</f>
        <v>—</v>
      </c>
      <c r="P40" s="39"/>
      <c r="Q40" s="39"/>
      <c r="R40" s="39"/>
      <c r="S40" s="39"/>
      <c r="T40" s="39"/>
      <c r="U40" s="38" t="str">
        <f>IFERROR(METRIQUES!R39/METRIQUES!S39,"—")</f>
        <v>—</v>
      </c>
      <c r="V40" s="39"/>
      <c r="W40" s="39"/>
      <c r="X40" s="39"/>
      <c r="Y40" s="39"/>
      <c r="Z40" s="39"/>
      <c r="AA40" s="38" t="str">
        <f>IFERROR(METRIQUES!T39/METRIQUES!U39,"—")</f>
        <v>—</v>
      </c>
      <c r="AB40" s="39"/>
      <c r="AC40" s="39"/>
      <c r="AD40" s="49"/>
      <c r="AE40" s="53"/>
    </row>
    <row r="41" spans="1:31" ht="18" customHeight="1" x14ac:dyDescent="0.35">
      <c r="A41" s="20" t="s">
        <v>36</v>
      </c>
      <c r="B41" s="41" t="str">
        <f>IFERROR(METRIQUES!B40/METRIQUES!C40,"—")</f>
        <v>—</v>
      </c>
      <c r="C41" s="38" t="str">
        <f>IFERROR(METRIQUES!D40/METRIQUES!E40,"—")</f>
        <v>—</v>
      </c>
      <c r="D41" s="39"/>
      <c r="E41" s="38" t="str">
        <f>IFERROR(METRIQUES!F40/METRIQUES!G40,"—")</f>
        <v>—</v>
      </c>
      <c r="F41" s="38" t="str">
        <f>IFERROR(METRIQUES!H40/METRIQUES!I40,"—")</f>
        <v>—</v>
      </c>
      <c r="G41" s="39"/>
      <c r="H41" s="39"/>
      <c r="I41" s="39"/>
      <c r="J41" s="38" t="str">
        <f>IFERROR(1-(METRIQUES!K40/METRIQUES!J40),"—")</f>
        <v>—</v>
      </c>
      <c r="K41" s="39"/>
      <c r="L41" s="38" t="str">
        <f>IFERROR(METRIQUES!L40/METRIQUES!M40,"—")</f>
        <v>—</v>
      </c>
      <c r="M41" s="39"/>
      <c r="N41" s="38" t="str">
        <f>IFERROR(METRIQUES!N40/METRIQUES!O40,"—")</f>
        <v>—</v>
      </c>
      <c r="O41" s="38" t="str">
        <f>IFERROR(METRIQUES!P40/METRIQUES!Q40,"—")</f>
        <v>—</v>
      </c>
      <c r="P41" s="39"/>
      <c r="Q41" s="39"/>
      <c r="R41" s="39"/>
      <c r="S41" s="39"/>
      <c r="T41" s="39"/>
      <c r="U41" s="38" t="str">
        <f>IFERROR(METRIQUES!R40/METRIQUES!S40,"—")</f>
        <v>—</v>
      </c>
      <c r="V41" s="39"/>
      <c r="W41" s="39"/>
      <c r="X41" s="39"/>
      <c r="Y41" s="39"/>
      <c r="Z41" s="39"/>
      <c r="AA41" s="38" t="str">
        <f>IFERROR(METRIQUES!T40/METRIQUES!U40,"—")</f>
        <v>—</v>
      </c>
      <c r="AB41" s="39"/>
      <c r="AC41" s="39"/>
      <c r="AD41" s="49"/>
      <c r="AE41" s="53"/>
    </row>
    <row r="42" spans="1:31" ht="18" customHeight="1" x14ac:dyDescent="0.35">
      <c r="A42" s="20" t="s">
        <v>37</v>
      </c>
      <c r="B42" s="41" t="str">
        <f>IFERROR(METRIQUES!B41/METRIQUES!C41,"—")</f>
        <v>—</v>
      </c>
      <c r="C42" s="38" t="str">
        <f>IFERROR(METRIQUES!D41/METRIQUES!E41,"—")</f>
        <v>—</v>
      </c>
      <c r="D42" s="39"/>
      <c r="E42" s="38" t="str">
        <f>IFERROR(METRIQUES!F41/METRIQUES!G41,"—")</f>
        <v>—</v>
      </c>
      <c r="F42" s="38" t="str">
        <f>IFERROR(METRIQUES!H41/METRIQUES!I41,"—")</f>
        <v>—</v>
      </c>
      <c r="G42" s="39"/>
      <c r="H42" s="39"/>
      <c r="I42" s="39"/>
      <c r="J42" s="38" t="str">
        <f>IFERROR(1-(METRIQUES!K41/METRIQUES!J41),"—")</f>
        <v>—</v>
      </c>
      <c r="K42" s="39"/>
      <c r="L42" s="38" t="str">
        <f>IFERROR(METRIQUES!L41/METRIQUES!M41,"—")</f>
        <v>—</v>
      </c>
      <c r="M42" s="39"/>
      <c r="N42" s="38" t="str">
        <f>IFERROR(METRIQUES!N41/METRIQUES!O41,"—")</f>
        <v>—</v>
      </c>
      <c r="O42" s="38" t="str">
        <f>IFERROR(METRIQUES!P41/METRIQUES!Q41,"—")</f>
        <v>—</v>
      </c>
      <c r="P42" s="39"/>
      <c r="Q42" s="39"/>
      <c r="R42" s="39"/>
      <c r="S42" s="39"/>
      <c r="T42" s="39"/>
      <c r="U42" s="38" t="str">
        <f>IFERROR(METRIQUES!R41/METRIQUES!S41,"—")</f>
        <v>—</v>
      </c>
      <c r="V42" s="39"/>
      <c r="W42" s="39"/>
      <c r="X42" s="39"/>
      <c r="Y42" s="39"/>
      <c r="Z42" s="39"/>
      <c r="AA42" s="38" t="str">
        <f>IFERROR(METRIQUES!T41/METRIQUES!U41,"—")</f>
        <v>—</v>
      </c>
      <c r="AB42" s="39"/>
      <c r="AC42" s="39"/>
      <c r="AD42" s="49"/>
      <c r="AE42" s="53"/>
    </row>
    <row r="43" spans="1:31" ht="18" customHeight="1" x14ac:dyDescent="0.35">
      <c r="A43" s="20" t="s">
        <v>38</v>
      </c>
      <c r="B43" s="41" t="str">
        <f>IFERROR(METRIQUES!B42/METRIQUES!C42,"—")</f>
        <v>—</v>
      </c>
      <c r="C43" s="38" t="str">
        <f>IFERROR(METRIQUES!D42/METRIQUES!E42,"—")</f>
        <v>—</v>
      </c>
      <c r="D43" s="39"/>
      <c r="E43" s="38" t="str">
        <f>IFERROR(METRIQUES!F42/METRIQUES!G42,"—")</f>
        <v>—</v>
      </c>
      <c r="F43" s="38" t="str">
        <f>IFERROR(METRIQUES!H42/METRIQUES!I42,"—")</f>
        <v>—</v>
      </c>
      <c r="G43" s="39"/>
      <c r="H43" s="39"/>
      <c r="I43" s="39"/>
      <c r="J43" s="38" t="str">
        <f>IFERROR(1-(METRIQUES!K42/METRIQUES!J42),"—")</f>
        <v>—</v>
      </c>
      <c r="K43" s="39"/>
      <c r="L43" s="38" t="str">
        <f>IFERROR(METRIQUES!L42/METRIQUES!M42,"—")</f>
        <v>—</v>
      </c>
      <c r="M43" s="39"/>
      <c r="N43" s="38" t="str">
        <f>IFERROR(METRIQUES!N42/METRIQUES!O42,"—")</f>
        <v>—</v>
      </c>
      <c r="O43" s="38" t="str">
        <f>IFERROR(METRIQUES!P42/METRIQUES!Q42,"—")</f>
        <v>—</v>
      </c>
      <c r="P43" s="39"/>
      <c r="Q43" s="39"/>
      <c r="R43" s="39"/>
      <c r="S43" s="39"/>
      <c r="T43" s="39"/>
      <c r="U43" s="38" t="str">
        <f>IFERROR(METRIQUES!R42/METRIQUES!S42,"—")</f>
        <v>—</v>
      </c>
      <c r="V43" s="39"/>
      <c r="W43" s="39"/>
      <c r="X43" s="39"/>
      <c r="Y43" s="39"/>
      <c r="Z43" s="39"/>
      <c r="AA43" s="38" t="str">
        <f>IFERROR(METRIQUES!T42/METRIQUES!U42,"—")</f>
        <v>—</v>
      </c>
      <c r="AB43" s="39"/>
      <c r="AC43" s="39"/>
      <c r="AD43" s="49"/>
      <c r="AE43" s="53"/>
    </row>
    <row r="44" spans="1:31" ht="18" customHeight="1" x14ac:dyDescent="0.35">
      <c r="A44" s="20" t="s">
        <v>39</v>
      </c>
      <c r="B44" s="41" t="str">
        <f>IFERROR(METRIQUES!B43/METRIQUES!C43,"—")</f>
        <v>—</v>
      </c>
      <c r="C44" s="38" t="str">
        <f>IFERROR(METRIQUES!D43/METRIQUES!E43,"—")</f>
        <v>—</v>
      </c>
      <c r="D44" s="39"/>
      <c r="E44" s="38" t="str">
        <f>IFERROR(METRIQUES!F43/METRIQUES!G43,"—")</f>
        <v>—</v>
      </c>
      <c r="F44" s="38" t="str">
        <f>IFERROR(METRIQUES!H43/METRIQUES!I43,"—")</f>
        <v>—</v>
      </c>
      <c r="G44" s="39"/>
      <c r="H44" s="39"/>
      <c r="I44" s="39"/>
      <c r="J44" s="38" t="str">
        <f>IFERROR(1-(METRIQUES!K43/METRIQUES!J43),"—")</f>
        <v>—</v>
      </c>
      <c r="K44" s="39"/>
      <c r="L44" s="38" t="str">
        <f>IFERROR(METRIQUES!L43/METRIQUES!M43,"—")</f>
        <v>—</v>
      </c>
      <c r="M44" s="39"/>
      <c r="N44" s="38" t="str">
        <f>IFERROR(METRIQUES!N43/METRIQUES!O43,"—")</f>
        <v>—</v>
      </c>
      <c r="O44" s="38" t="str">
        <f>IFERROR(METRIQUES!P43/METRIQUES!Q43,"—")</f>
        <v>—</v>
      </c>
      <c r="P44" s="39"/>
      <c r="Q44" s="39"/>
      <c r="R44" s="39"/>
      <c r="S44" s="39"/>
      <c r="T44" s="39"/>
      <c r="U44" s="38" t="str">
        <f>IFERROR(METRIQUES!R43/METRIQUES!S43,"—")</f>
        <v>—</v>
      </c>
      <c r="V44" s="39"/>
      <c r="W44" s="39"/>
      <c r="X44" s="39"/>
      <c r="Y44" s="39"/>
      <c r="Z44" s="39"/>
      <c r="AA44" s="38" t="str">
        <f>IFERROR(METRIQUES!T43/METRIQUES!U43,"—")</f>
        <v>—</v>
      </c>
      <c r="AB44" s="39"/>
      <c r="AC44" s="39"/>
      <c r="AD44" s="49"/>
      <c r="AE44" s="53"/>
    </row>
    <row r="45" spans="1:31" ht="18" customHeight="1" x14ac:dyDescent="0.35">
      <c r="A45" s="20" t="s">
        <v>40</v>
      </c>
      <c r="B45" s="41" t="str">
        <f>IFERROR(METRIQUES!B44/METRIQUES!C44,"—")</f>
        <v>—</v>
      </c>
      <c r="C45" s="38" t="str">
        <f>IFERROR(METRIQUES!D44/METRIQUES!E44,"—")</f>
        <v>—</v>
      </c>
      <c r="D45" s="39"/>
      <c r="E45" s="38" t="str">
        <f>IFERROR(METRIQUES!F44/METRIQUES!G44,"—")</f>
        <v>—</v>
      </c>
      <c r="F45" s="38" t="str">
        <f>IFERROR(METRIQUES!H44/METRIQUES!I44,"—")</f>
        <v>—</v>
      </c>
      <c r="G45" s="39"/>
      <c r="H45" s="39"/>
      <c r="I45" s="39"/>
      <c r="J45" s="38" t="str">
        <f>IFERROR(1-(METRIQUES!K44/METRIQUES!J44),"—")</f>
        <v>—</v>
      </c>
      <c r="K45" s="39"/>
      <c r="L45" s="38" t="str">
        <f>IFERROR(METRIQUES!L44/METRIQUES!M44,"—")</f>
        <v>—</v>
      </c>
      <c r="M45" s="39"/>
      <c r="N45" s="38" t="str">
        <f>IFERROR(METRIQUES!N44/METRIQUES!O44,"—")</f>
        <v>—</v>
      </c>
      <c r="O45" s="38" t="str">
        <f>IFERROR(METRIQUES!P44/METRIQUES!Q44,"—")</f>
        <v>—</v>
      </c>
      <c r="P45" s="39"/>
      <c r="Q45" s="39"/>
      <c r="R45" s="39"/>
      <c r="S45" s="39"/>
      <c r="T45" s="39"/>
      <c r="U45" s="38" t="str">
        <f>IFERROR(METRIQUES!R44/METRIQUES!S44,"—")</f>
        <v>—</v>
      </c>
      <c r="V45" s="39"/>
      <c r="W45" s="39"/>
      <c r="X45" s="39"/>
      <c r="Y45" s="39"/>
      <c r="Z45" s="39"/>
      <c r="AA45" s="38" t="str">
        <f>IFERROR(METRIQUES!T44/METRIQUES!U44,"—")</f>
        <v>—</v>
      </c>
      <c r="AB45" s="39"/>
      <c r="AC45" s="39"/>
      <c r="AD45" s="49"/>
      <c r="AE45" s="53"/>
    </row>
    <row r="46" spans="1:31" ht="18" customHeight="1" x14ac:dyDescent="0.35">
      <c r="A46" s="20" t="s">
        <v>41</v>
      </c>
      <c r="B46" s="41" t="str">
        <f>IFERROR(METRIQUES!B45/METRIQUES!C45,"—")</f>
        <v>—</v>
      </c>
      <c r="C46" s="38" t="str">
        <f>IFERROR(METRIQUES!D45/METRIQUES!E45,"—")</f>
        <v>—</v>
      </c>
      <c r="D46" s="39"/>
      <c r="E46" s="38" t="str">
        <f>IFERROR(METRIQUES!F45/METRIQUES!G45,"—")</f>
        <v>—</v>
      </c>
      <c r="F46" s="38" t="str">
        <f>IFERROR(METRIQUES!H45/METRIQUES!I45,"—")</f>
        <v>—</v>
      </c>
      <c r="G46" s="39"/>
      <c r="H46" s="39"/>
      <c r="I46" s="39"/>
      <c r="J46" s="38" t="str">
        <f>IFERROR(1-(METRIQUES!K45/METRIQUES!J45),"—")</f>
        <v>—</v>
      </c>
      <c r="K46" s="39"/>
      <c r="L46" s="38" t="str">
        <f>IFERROR(METRIQUES!L45/METRIQUES!M45,"—")</f>
        <v>—</v>
      </c>
      <c r="M46" s="39"/>
      <c r="N46" s="38" t="str">
        <f>IFERROR(METRIQUES!N45/METRIQUES!O45,"—")</f>
        <v>—</v>
      </c>
      <c r="O46" s="38" t="str">
        <f>IFERROR(METRIQUES!P45/METRIQUES!Q45,"—")</f>
        <v>—</v>
      </c>
      <c r="P46" s="39"/>
      <c r="Q46" s="39"/>
      <c r="R46" s="39"/>
      <c r="S46" s="39"/>
      <c r="T46" s="39"/>
      <c r="U46" s="38" t="str">
        <f>IFERROR(METRIQUES!R45/METRIQUES!S45,"—")</f>
        <v>—</v>
      </c>
      <c r="V46" s="39"/>
      <c r="W46" s="39"/>
      <c r="X46" s="39"/>
      <c r="Y46" s="39"/>
      <c r="Z46" s="39"/>
      <c r="AA46" s="38" t="str">
        <f>IFERROR(METRIQUES!T45/METRIQUES!U45,"—")</f>
        <v>—</v>
      </c>
      <c r="AB46" s="39"/>
      <c r="AC46" s="39"/>
      <c r="AD46" s="49"/>
      <c r="AE46" s="53"/>
    </row>
    <row r="47" spans="1:31" ht="18" customHeight="1" x14ac:dyDescent="0.35">
      <c r="A47" s="20" t="s">
        <v>42</v>
      </c>
      <c r="B47" s="41" t="str">
        <f>IFERROR(METRIQUES!B46/METRIQUES!C46,"—")</f>
        <v>—</v>
      </c>
      <c r="C47" s="38" t="str">
        <f>IFERROR(METRIQUES!D46/METRIQUES!E46,"—")</f>
        <v>—</v>
      </c>
      <c r="D47" s="39"/>
      <c r="E47" s="38" t="str">
        <f>IFERROR(METRIQUES!F46/METRIQUES!G46,"—")</f>
        <v>—</v>
      </c>
      <c r="F47" s="38" t="str">
        <f>IFERROR(METRIQUES!H46/METRIQUES!I46,"—")</f>
        <v>—</v>
      </c>
      <c r="G47" s="39"/>
      <c r="H47" s="39"/>
      <c r="I47" s="39"/>
      <c r="J47" s="38" t="str">
        <f>IFERROR(1-(METRIQUES!K46/METRIQUES!J46),"—")</f>
        <v>—</v>
      </c>
      <c r="K47" s="39"/>
      <c r="L47" s="38" t="str">
        <f>IFERROR(METRIQUES!L46/METRIQUES!M46,"—")</f>
        <v>—</v>
      </c>
      <c r="M47" s="39"/>
      <c r="N47" s="38" t="str">
        <f>IFERROR(METRIQUES!N46/METRIQUES!O46,"—")</f>
        <v>—</v>
      </c>
      <c r="O47" s="38" t="str">
        <f>IFERROR(METRIQUES!P46/METRIQUES!Q46,"—")</f>
        <v>—</v>
      </c>
      <c r="P47" s="39"/>
      <c r="Q47" s="39"/>
      <c r="R47" s="39"/>
      <c r="S47" s="39"/>
      <c r="T47" s="39"/>
      <c r="U47" s="38" t="str">
        <f>IFERROR(METRIQUES!R46/METRIQUES!S46,"—")</f>
        <v>—</v>
      </c>
      <c r="V47" s="39"/>
      <c r="W47" s="39"/>
      <c r="X47" s="39"/>
      <c r="Y47" s="39"/>
      <c r="Z47" s="39"/>
      <c r="AA47" s="38" t="str">
        <f>IFERROR(METRIQUES!T46/METRIQUES!U46,"—")</f>
        <v>—</v>
      </c>
      <c r="AB47" s="39"/>
      <c r="AC47" s="39"/>
      <c r="AD47" s="49"/>
      <c r="AE47" s="53"/>
    </row>
    <row r="48" spans="1:31" ht="18" customHeight="1" x14ac:dyDescent="0.35">
      <c r="A48" s="20" t="s">
        <v>43</v>
      </c>
      <c r="B48" s="41" t="str">
        <f>IFERROR(METRIQUES!B47/METRIQUES!C47,"—")</f>
        <v>—</v>
      </c>
      <c r="C48" s="38" t="str">
        <f>IFERROR(METRIQUES!D47/METRIQUES!E47,"—")</f>
        <v>—</v>
      </c>
      <c r="D48" s="39"/>
      <c r="E48" s="38" t="str">
        <f>IFERROR(METRIQUES!F47/METRIQUES!G47,"—")</f>
        <v>—</v>
      </c>
      <c r="F48" s="38" t="str">
        <f>IFERROR(METRIQUES!H47/METRIQUES!I47,"—")</f>
        <v>—</v>
      </c>
      <c r="G48" s="39"/>
      <c r="H48" s="39"/>
      <c r="I48" s="39"/>
      <c r="J48" s="38" t="str">
        <f>IFERROR(1-(METRIQUES!K47/METRIQUES!J47),"—")</f>
        <v>—</v>
      </c>
      <c r="K48" s="39"/>
      <c r="L48" s="38" t="str">
        <f>IFERROR(METRIQUES!L47/METRIQUES!M47,"—")</f>
        <v>—</v>
      </c>
      <c r="M48" s="39"/>
      <c r="N48" s="38" t="str">
        <f>IFERROR(METRIQUES!N47/METRIQUES!O47,"—")</f>
        <v>—</v>
      </c>
      <c r="O48" s="38" t="str">
        <f>IFERROR(METRIQUES!P47/METRIQUES!Q47,"—")</f>
        <v>—</v>
      </c>
      <c r="P48" s="39"/>
      <c r="Q48" s="39"/>
      <c r="R48" s="39"/>
      <c r="S48" s="39"/>
      <c r="T48" s="39"/>
      <c r="U48" s="38" t="str">
        <f>IFERROR(METRIQUES!R47/METRIQUES!S47,"—")</f>
        <v>—</v>
      </c>
      <c r="V48" s="39"/>
      <c r="W48" s="39"/>
      <c r="X48" s="39"/>
      <c r="Y48" s="39"/>
      <c r="Z48" s="39"/>
      <c r="AA48" s="38" t="str">
        <f>IFERROR(METRIQUES!T47/METRIQUES!U47,"—")</f>
        <v>—</v>
      </c>
      <c r="AB48" s="39"/>
      <c r="AC48" s="39"/>
      <c r="AD48" s="49"/>
      <c r="AE48" s="53"/>
    </row>
    <row r="49" spans="1:31" ht="18" customHeight="1" x14ac:dyDescent="0.35">
      <c r="A49" s="20" t="s">
        <v>44</v>
      </c>
      <c r="B49" s="41" t="str">
        <f>IFERROR(METRIQUES!B48/METRIQUES!C48,"—")</f>
        <v>—</v>
      </c>
      <c r="C49" s="38" t="str">
        <f>IFERROR(METRIQUES!D48/METRIQUES!E48,"—")</f>
        <v>—</v>
      </c>
      <c r="D49" s="39"/>
      <c r="E49" s="38" t="str">
        <f>IFERROR(METRIQUES!F48/METRIQUES!G48,"—")</f>
        <v>—</v>
      </c>
      <c r="F49" s="38" t="str">
        <f>IFERROR(METRIQUES!H48/METRIQUES!I48,"—")</f>
        <v>—</v>
      </c>
      <c r="G49" s="39"/>
      <c r="H49" s="39"/>
      <c r="I49" s="39"/>
      <c r="J49" s="38" t="str">
        <f>IFERROR(1-(METRIQUES!K48/METRIQUES!J48),"—")</f>
        <v>—</v>
      </c>
      <c r="K49" s="39"/>
      <c r="L49" s="38" t="str">
        <f>IFERROR(METRIQUES!L48/METRIQUES!M48,"—")</f>
        <v>—</v>
      </c>
      <c r="M49" s="39"/>
      <c r="N49" s="38" t="str">
        <f>IFERROR(METRIQUES!N48/METRIQUES!O48,"—")</f>
        <v>—</v>
      </c>
      <c r="O49" s="38" t="str">
        <f>IFERROR(METRIQUES!P48/METRIQUES!Q48,"—")</f>
        <v>—</v>
      </c>
      <c r="P49" s="39"/>
      <c r="Q49" s="39"/>
      <c r="R49" s="39"/>
      <c r="S49" s="39"/>
      <c r="T49" s="39"/>
      <c r="U49" s="38" t="str">
        <f>IFERROR(METRIQUES!R48/METRIQUES!S48,"—")</f>
        <v>—</v>
      </c>
      <c r="V49" s="39"/>
      <c r="W49" s="39"/>
      <c r="X49" s="39"/>
      <c r="Y49" s="39"/>
      <c r="Z49" s="39"/>
      <c r="AA49" s="38" t="str">
        <f>IFERROR(METRIQUES!T48/METRIQUES!U48,"—")</f>
        <v>—</v>
      </c>
      <c r="AB49" s="39"/>
      <c r="AC49" s="39"/>
      <c r="AD49" s="49"/>
      <c r="AE49" s="53"/>
    </row>
    <row r="50" spans="1:31" ht="18" customHeight="1" x14ac:dyDescent="0.35">
      <c r="A50" s="20" t="s">
        <v>45</v>
      </c>
      <c r="B50" s="41" t="str">
        <f>IFERROR(METRIQUES!B49/METRIQUES!C49,"—")</f>
        <v>—</v>
      </c>
      <c r="C50" s="38" t="str">
        <f>IFERROR(METRIQUES!D49/METRIQUES!E49,"—")</f>
        <v>—</v>
      </c>
      <c r="D50" s="39"/>
      <c r="E50" s="38" t="str">
        <f>IFERROR(METRIQUES!F49/METRIQUES!G49,"—")</f>
        <v>—</v>
      </c>
      <c r="F50" s="38" t="str">
        <f>IFERROR(METRIQUES!H49/METRIQUES!I49,"—")</f>
        <v>—</v>
      </c>
      <c r="G50" s="39"/>
      <c r="H50" s="39"/>
      <c r="I50" s="39"/>
      <c r="J50" s="38" t="str">
        <f>IFERROR(1-(METRIQUES!K49/METRIQUES!J49),"—")</f>
        <v>—</v>
      </c>
      <c r="K50" s="39"/>
      <c r="L50" s="38" t="str">
        <f>IFERROR(METRIQUES!L49/METRIQUES!M49,"—")</f>
        <v>—</v>
      </c>
      <c r="M50" s="39"/>
      <c r="N50" s="38" t="str">
        <f>IFERROR(METRIQUES!N49/METRIQUES!O49,"—")</f>
        <v>—</v>
      </c>
      <c r="O50" s="38" t="str">
        <f>IFERROR(METRIQUES!P49/METRIQUES!Q49,"—")</f>
        <v>—</v>
      </c>
      <c r="P50" s="39"/>
      <c r="Q50" s="39"/>
      <c r="R50" s="39"/>
      <c r="S50" s="39"/>
      <c r="T50" s="39"/>
      <c r="U50" s="38" t="str">
        <f>IFERROR(METRIQUES!R49/METRIQUES!S49,"—")</f>
        <v>—</v>
      </c>
      <c r="V50" s="39"/>
      <c r="W50" s="39"/>
      <c r="X50" s="39"/>
      <c r="Y50" s="39"/>
      <c r="Z50" s="39"/>
      <c r="AA50" s="38" t="str">
        <f>IFERROR(METRIQUES!T49/METRIQUES!U49,"—")</f>
        <v>—</v>
      </c>
      <c r="AB50" s="39"/>
      <c r="AC50" s="39"/>
      <c r="AD50" s="49"/>
      <c r="AE50" s="53"/>
    </row>
    <row r="51" spans="1:31" ht="18" customHeight="1" x14ac:dyDescent="0.35">
      <c r="A51" s="20" t="s">
        <v>46</v>
      </c>
      <c r="B51" s="41" t="str">
        <f>IFERROR(METRIQUES!B50/METRIQUES!C50,"—")</f>
        <v>—</v>
      </c>
      <c r="C51" s="38" t="str">
        <f>IFERROR(METRIQUES!D50/METRIQUES!E50,"—")</f>
        <v>—</v>
      </c>
      <c r="D51" s="39"/>
      <c r="E51" s="38" t="str">
        <f>IFERROR(METRIQUES!F50/METRIQUES!G50,"—")</f>
        <v>—</v>
      </c>
      <c r="F51" s="38" t="str">
        <f>IFERROR(METRIQUES!H50/METRIQUES!I50,"—")</f>
        <v>—</v>
      </c>
      <c r="G51" s="39"/>
      <c r="H51" s="39"/>
      <c r="I51" s="39"/>
      <c r="J51" s="38" t="str">
        <f>IFERROR(1-(METRIQUES!K50/METRIQUES!J50),"—")</f>
        <v>—</v>
      </c>
      <c r="K51" s="39"/>
      <c r="L51" s="38" t="str">
        <f>IFERROR(METRIQUES!L50/METRIQUES!M50,"—")</f>
        <v>—</v>
      </c>
      <c r="M51" s="39"/>
      <c r="N51" s="38" t="str">
        <f>IFERROR(METRIQUES!N50/METRIQUES!O50,"—")</f>
        <v>—</v>
      </c>
      <c r="O51" s="38" t="str">
        <f>IFERROR(METRIQUES!P50/METRIQUES!Q50,"—")</f>
        <v>—</v>
      </c>
      <c r="P51" s="39"/>
      <c r="Q51" s="39"/>
      <c r="R51" s="39"/>
      <c r="S51" s="39"/>
      <c r="T51" s="39"/>
      <c r="U51" s="38" t="str">
        <f>IFERROR(METRIQUES!R50/METRIQUES!S50,"—")</f>
        <v>—</v>
      </c>
      <c r="V51" s="39"/>
      <c r="W51" s="39"/>
      <c r="X51" s="39"/>
      <c r="Y51" s="39"/>
      <c r="Z51" s="39"/>
      <c r="AA51" s="38" t="str">
        <f>IFERROR(METRIQUES!T50/METRIQUES!U50,"—")</f>
        <v>—</v>
      </c>
      <c r="AB51" s="39"/>
      <c r="AC51" s="39"/>
      <c r="AD51" s="49"/>
      <c r="AE51" s="53"/>
    </row>
    <row r="52" spans="1:31" ht="18" customHeight="1" x14ac:dyDescent="0.35">
      <c r="A52" s="20" t="s">
        <v>47</v>
      </c>
      <c r="B52" s="41" t="str">
        <f>IFERROR(METRIQUES!B51/METRIQUES!C51,"—")</f>
        <v>—</v>
      </c>
      <c r="C52" s="38" t="str">
        <f>IFERROR(METRIQUES!D51/METRIQUES!E51,"—")</f>
        <v>—</v>
      </c>
      <c r="D52" s="39"/>
      <c r="E52" s="38" t="str">
        <f>IFERROR(METRIQUES!F51/METRIQUES!G51,"—")</f>
        <v>—</v>
      </c>
      <c r="F52" s="38" t="str">
        <f>IFERROR(METRIQUES!H51/METRIQUES!I51,"—")</f>
        <v>—</v>
      </c>
      <c r="G52" s="39"/>
      <c r="H52" s="39"/>
      <c r="I52" s="39"/>
      <c r="J52" s="38" t="str">
        <f>IFERROR(1-(METRIQUES!K51/METRIQUES!J51),"—")</f>
        <v>—</v>
      </c>
      <c r="K52" s="39"/>
      <c r="L52" s="38" t="str">
        <f>IFERROR(METRIQUES!L51/METRIQUES!M51,"—")</f>
        <v>—</v>
      </c>
      <c r="M52" s="39"/>
      <c r="N52" s="38" t="str">
        <f>IFERROR(METRIQUES!N51/METRIQUES!O51,"—")</f>
        <v>—</v>
      </c>
      <c r="O52" s="38" t="str">
        <f>IFERROR(METRIQUES!P51/METRIQUES!Q51,"—")</f>
        <v>—</v>
      </c>
      <c r="P52" s="39"/>
      <c r="Q52" s="39"/>
      <c r="R52" s="39"/>
      <c r="S52" s="39"/>
      <c r="T52" s="39"/>
      <c r="U52" s="38" t="str">
        <f>IFERROR(METRIQUES!R51/METRIQUES!S51,"—")</f>
        <v>—</v>
      </c>
      <c r="V52" s="39"/>
      <c r="W52" s="39"/>
      <c r="X52" s="39"/>
      <c r="Y52" s="39"/>
      <c r="Z52" s="39"/>
      <c r="AA52" s="38" t="str">
        <f>IFERROR(METRIQUES!T51/METRIQUES!U51,"—")</f>
        <v>—</v>
      </c>
      <c r="AB52" s="39"/>
      <c r="AC52" s="39"/>
      <c r="AD52" s="49"/>
      <c r="AE52" s="53"/>
    </row>
    <row r="53" spans="1:31" ht="18" customHeight="1" x14ac:dyDescent="0.35">
      <c r="A53" s="20" t="s">
        <v>48</v>
      </c>
      <c r="B53" s="41" t="str">
        <f>IFERROR(METRIQUES!B52/METRIQUES!C52,"—")</f>
        <v>—</v>
      </c>
      <c r="C53" s="38" t="str">
        <f>IFERROR(METRIQUES!D52/METRIQUES!E52,"—")</f>
        <v>—</v>
      </c>
      <c r="D53" s="39"/>
      <c r="E53" s="38" t="str">
        <f>IFERROR(METRIQUES!F52/METRIQUES!G52,"—")</f>
        <v>—</v>
      </c>
      <c r="F53" s="38" t="str">
        <f>IFERROR(METRIQUES!H52/METRIQUES!I52,"—")</f>
        <v>—</v>
      </c>
      <c r="G53" s="39"/>
      <c r="H53" s="39"/>
      <c r="I53" s="39"/>
      <c r="J53" s="38" t="str">
        <f>IFERROR(1-(METRIQUES!K52/METRIQUES!J52),"—")</f>
        <v>—</v>
      </c>
      <c r="K53" s="39"/>
      <c r="L53" s="38" t="str">
        <f>IFERROR(METRIQUES!L52/METRIQUES!M52,"—")</f>
        <v>—</v>
      </c>
      <c r="M53" s="39"/>
      <c r="N53" s="38" t="str">
        <f>IFERROR(METRIQUES!N52/METRIQUES!O52,"—")</f>
        <v>—</v>
      </c>
      <c r="O53" s="38" t="str">
        <f>IFERROR(METRIQUES!P52/METRIQUES!Q52,"—")</f>
        <v>—</v>
      </c>
      <c r="P53" s="39"/>
      <c r="Q53" s="39"/>
      <c r="R53" s="39"/>
      <c r="S53" s="39"/>
      <c r="T53" s="39"/>
      <c r="U53" s="38" t="str">
        <f>IFERROR(METRIQUES!R52/METRIQUES!S52,"—")</f>
        <v>—</v>
      </c>
      <c r="V53" s="39"/>
      <c r="W53" s="39"/>
      <c r="X53" s="39"/>
      <c r="Y53" s="39"/>
      <c r="Z53" s="39"/>
      <c r="AA53" s="38" t="str">
        <f>IFERROR(METRIQUES!T52/METRIQUES!U52,"—")</f>
        <v>—</v>
      </c>
      <c r="AB53" s="39"/>
      <c r="AC53" s="39"/>
      <c r="AD53" s="49"/>
      <c r="AE53" s="53"/>
    </row>
    <row r="54" spans="1:31" ht="18" customHeight="1" x14ac:dyDescent="0.35">
      <c r="A54" s="20" t="s">
        <v>49</v>
      </c>
      <c r="B54" s="41" t="str">
        <f>IFERROR(METRIQUES!B53/METRIQUES!C53,"—")</f>
        <v>—</v>
      </c>
      <c r="C54" s="38" t="str">
        <f>IFERROR(METRIQUES!D53/METRIQUES!E53,"—")</f>
        <v>—</v>
      </c>
      <c r="D54" s="39"/>
      <c r="E54" s="38" t="str">
        <f>IFERROR(METRIQUES!F53/METRIQUES!G53,"—")</f>
        <v>—</v>
      </c>
      <c r="F54" s="38" t="str">
        <f>IFERROR(METRIQUES!H53/METRIQUES!I53,"—")</f>
        <v>—</v>
      </c>
      <c r="G54" s="39"/>
      <c r="H54" s="39"/>
      <c r="I54" s="39"/>
      <c r="J54" s="38" t="str">
        <f>IFERROR(1-(METRIQUES!K53/METRIQUES!J53),"—")</f>
        <v>—</v>
      </c>
      <c r="K54" s="39"/>
      <c r="L54" s="38" t="str">
        <f>IFERROR(METRIQUES!L53/METRIQUES!M53,"—")</f>
        <v>—</v>
      </c>
      <c r="M54" s="39"/>
      <c r="N54" s="38" t="str">
        <f>IFERROR(METRIQUES!N53/METRIQUES!O53,"—")</f>
        <v>—</v>
      </c>
      <c r="O54" s="38" t="str">
        <f>IFERROR(METRIQUES!P53/METRIQUES!Q53,"—")</f>
        <v>—</v>
      </c>
      <c r="P54" s="39"/>
      <c r="Q54" s="39"/>
      <c r="R54" s="39"/>
      <c r="S54" s="39"/>
      <c r="T54" s="39"/>
      <c r="U54" s="38" t="str">
        <f>IFERROR(METRIQUES!R53/METRIQUES!S53,"—")</f>
        <v>—</v>
      </c>
      <c r="V54" s="39"/>
      <c r="W54" s="39"/>
      <c r="X54" s="39"/>
      <c r="Y54" s="39"/>
      <c r="Z54" s="39"/>
      <c r="AA54" s="38" t="str">
        <f>IFERROR(METRIQUES!T53/METRIQUES!U53,"—")</f>
        <v>—</v>
      </c>
      <c r="AB54" s="39"/>
      <c r="AC54" s="39"/>
      <c r="AD54" s="49"/>
      <c r="AE54" s="53"/>
    </row>
    <row r="55" spans="1:31" ht="18" customHeight="1" x14ac:dyDescent="0.35">
      <c r="A55" s="21" t="s">
        <v>50</v>
      </c>
      <c r="B55" s="42" t="str">
        <f>IFERROR(METRIQUES!B54/METRIQUES!C54,"—")</f>
        <v>—</v>
      </c>
      <c r="C55" s="43" t="str">
        <f>IFERROR(METRIQUES!D54/METRIQUES!E54,"—")</f>
        <v>—</v>
      </c>
      <c r="D55" s="44"/>
      <c r="E55" s="43" t="str">
        <f>IFERROR(METRIQUES!F54/METRIQUES!G54,"—")</f>
        <v>—</v>
      </c>
      <c r="F55" s="43" t="str">
        <f>IFERROR(METRIQUES!H54/METRIQUES!I54,"—")</f>
        <v>—</v>
      </c>
      <c r="G55" s="44"/>
      <c r="H55" s="44"/>
      <c r="I55" s="44"/>
      <c r="J55" s="43" t="str">
        <f>IFERROR(1-(METRIQUES!K54/METRIQUES!J54),"—")</f>
        <v>—</v>
      </c>
      <c r="K55" s="44"/>
      <c r="L55" s="43" t="str">
        <f>IFERROR(METRIQUES!L54/METRIQUES!M54,"—")</f>
        <v>—</v>
      </c>
      <c r="M55" s="44"/>
      <c r="N55" s="43" t="str">
        <f>IFERROR(METRIQUES!N54/METRIQUES!O54,"—")</f>
        <v>—</v>
      </c>
      <c r="O55" s="43" t="str">
        <f>IFERROR(METRIQUES!P54/METRIQUES!Q54,"—")</f>
        <v>—</v>
      </c>
      <c r="P55" s="44"/>
      <c r="Q55" s="44"/>
      <c r="R55" s="44"/>
      <c r="S55" s="44"/>
      <c r="T55" s="44"/>
      <c r="U55" s="43" t="str">
        <f>IFERROR(METRIQUES!R54/METRIQUES!S54,"—")</f>
        <v>—</v>
      </c>
      <c r="V55" s="44"/>
      <c r="W55" s="44"/>
      <c r="X55" s="44"/>
      <c r="Y55" s="44"/>
      <c r="Z55" s="44"/>
      <c r="AA55" s="43" t="str">
        <f>IFERROR(METRIQUES!T54/METRIQUES!U54,"—")</f>
        <v>—</v>
      </c>
      <c r="AB55" s="44"/>
      <c r="AC55" s="44"/>
      <c r="AD55" s="50"/>
      <c r="AE55" s="54"/>
    </row>
    <row r="56" spans="1:31" ht="18" customHeight="1" thickBot="1" x14ac:dyDescent="0.4">
      <c r="A56" s="24" t="s">
        <v>51</v>
      </c>
      <c r="B56" s="45" t="str">
        <f>IFERROR(METRIQUES!B55/METRIQUES!C55,"—")</f>
        <v>—</v>
      </c>
      <c r="C56" s="46" t="str">
        <f>IFERROR(METRIQUES!D55/METRIQUES!E55,"—")</f>
        <v>—</v>
      </c>
      <c r="D56" s="47"/>
      <c r="E56" s="46" t="str">
        <f>IFERROR(METRIQUES!F55/METRIQUES!G55,"—")</f>
        <v>—</v>
      </c>
      <c r="F56" s="46" t="str">
        <f>IFERROR(METRIQUES!H55/METRIQUES!I55,"—")</f>
        <v>—</v>
      </c>
      <c r="G56" s="47"/>
      <c r="H56" s="47"/>
      <c r="I56" s="47"/>
      <c r="J56" s="46" t="str">
        <f>IFERROR(1-(METRIQUES!K55/METRIQUES!J55),"—")</f>
        <v>—</v>
      </c>
      <c r="K56" s="47"/>
      <c r="L56" s="46" t="str">
        <f>IFERROR(METRIQUES!L55/METRIQUES!M55,"—")</f>
        <v>—</v>
      </c>
      <c r="M56" s="47"/>
      <c r="N56" s="46" t="str">
        <f>IFERROR(METRIQUES!N55/METRIQUES!O55,"—")</f>
        <v>—</v>
      </c>
      <c r="O56" s="46" t="str">
        <f>IFERROR(METRIQUES!P55/METRIQUES!Q55,"—")</f>
        <v>—</v>
      </c>
      <c r="P56" s="47"/>
      <c r="Q56" s="47"/>
      <c r="R56" s="47"/>
      <c r="S56" s="47"/>
      <c r="T56" s="47"/>
      <c r="U56" s="46" t="str">
        <f>IFERROR(METRIQUES!R55/METRIQUES!S55,"—")</f>
        <v>—</v>
      </c>
      <c r="V56" s="47"/>
      <c r="W56" s="47"/>
      <c r="X56" s="47"/>
      <c r="Y56" s="47"/>
      <c r="Z56" s="47"/>
      <c r="AA56" s="46" t="str">
        <f>IFERROR(METRIQUES!T55/METRIQUES!U55,"—")</f>
        <v>—</v>
      </c>
      <c r="AB56" s="47"/>
      <c r="AC56" s="47"/>
      <c r="AD56" s="51"/>
      <c r="AE56" s="55"/>
    </row>
  </sheetData>
  <mergeCells count="2">
    <mergeCell ref="A1:AE1"/>
    <mergeCell ref="A4:AE4"/>
  </mergeCells>
  <conditionalFormatting sqref="B5:AE56">
    <cfRule type="cellIs" dxfId="2" priority="1" stopIfTrue="1" operator="greaterThanOrEqual">
      <formula>"0.95"</formula>
    </cfRule>
    <cfRule type="cellIs" dxfId="1" priority="2" stopIfTrue="1" operator="between">
      <formula>0</formula>
      <formula>"0.9499"</formula>
    </cfRule>
    <cfRule type="cellIs" dxfId="0" priority="3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4" name="Btn_Logout_H">
              <controlPr defaultSize="0" print="0" autoFill="0" autoPict="0" macro="[0]!DECONNEXION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5492-CBB6-40F2-A6EA-CCC28CB0AE71}">
  <sheetPr codeName="Feuil19"/>
  <dimension ref="A1:V57"/>
  <sheetViews>
    <sheetView showGridLines="0" zoomScale="130" zoomScaleNormal="130" workbookViewId="0">
      <pane xSplit="1" ySplit="3" topLeftCell="B49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baseColWidth="10" defaultRowHeight="14.5" x14ac:dyDescent="0.35"/>
  <cols>
    <col min="1" max="1" width="12.6328125" customWidth="1"/>
    <col min="2" max="21" width="14.6328125" customWidth="1"/>
  </cols>
  <sheetData>
    <row r="1" spans="1:22" ht="35" customHeight="1" x14ac:dyDescent="0.35">
      <c r="A1" s="231" t="s">
        <v>71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22" customHeight="1" x14ac:dyDescent="0.35">
      <c r="A2" s="10" t="s">
        <v>72</v>
      </c>
      <c r="B2" s="11" t="s">
        <v>198</v>
      </c>
    </row>
    <row r="3" spans="1:22" ht="60" customHeight="1" thickBot="1" x14ac:dyDescent="0.4">
      <c r="A3" s="18" t="s">
        <v>73</v>
      </c>
      <c r="B3" s="15" t="s">
        <v>74</v>
      </c>
      <c r="C3" s="14" t="s">
        <v>75</v>
      </c>
      <c r="D3" s="14" t="s">
        <v>76</v>
      </c>
      <c r="E3" s="14" t="s">
        <v>77</v>
      </c>
      <c r="F3" s="14" t="s">
        <v>78</v>
      </c>
      <c r="G3" s="14" t="s">
        <v>79</v>
      </c>
      <c r="H3" s="14" t="s">
        <v>80</v>
      </c>
      <c r="I3" s="14" t="s">
        <v>81</v>
      </c>
      <c r="J3" s="14" t="s">
        <v>82</v>
      </c>
      <c r="K3" s="14" t="s">
        <v>83</v>
      </c>
      <c r="L3" s="14" t="s">
        <v>84</v>
      </c>
      <c r="M3" s="14" t="s">
        <v>85</v>
      </c>
      <c r="N3" s="14" t="s">
        <v>86</v>
      </c>
      <c r="O3" s="14" t="s">
        <v>87</v>
      </c>
      <c r="P3" s="14" t="s">
        <v>88</v>
      </c>
      <c r="Q3" s="14" t="s">
        <v>89</v>
      </c>
      <c r="R3" s="14" t="s">
        <v>90</v>
      </c>
      <c r="S3" s="14" t="s">
        <v>91</v>
      </c>
      <c r="T3" s="27" t="s">
        <v>92</v>
      </c>
      <c r="U3" s="32" t="s">
        <v>93</v>
      </c>
    </row>
    <row r="4" spans="1:22" ht="18" customHeight="1" x14ac:dyDescent="0.35">
      <c r="A4" s="19" t="s">
        <v>0</v>
      </c>
      <c r="B4" s="16">
        <v>31</v>
      </c>
      <c r="C4" s="13">
        <v>63</v>
      </c>
      <c r="D4" s="13">
        <v>4</v>
      </c>
      <c r="E4" s="13">
        <v>8</v>
      </c>
      <c r="F4" s="13">
        <v>4</v>
      </c>
      <c r="G4" s="13">
        <v>308</v>
      </c>
      <c r="H4" s="13">
        <v>294</v>
      </c>
      <c r="I4" s="13">
        <v>300</v>
      </c>
      <c r="J4" s="13">
        <v>18</v>
      </c>
      <c r="K4" s="13">
        <v>11</v>
      </c>
      <c r="L4" s="13">
        <v>0</v>
      </c>
      <c r="M4" s="13">
        <v>1</v>
      </c>
      <c r="N4" s="13">
        <v>6</v>
      </c>
      <c r="O4" s="13" t="s">
        <v>282</v>
      </c>
      <c r="P4" s="13">
        <v>0</v>
      </c>
      <c r="Q4" s="13">
        <v>178</v>
      </c>
      <c r="R4" s="13">
        <v>11</v>
      </c>
      <c r="S4" s="13">
        <v>11</v>
      </c>
      <c r="T4" s="28">
        <v>0</v>
      </c>
      <c r="U4" s="33">
        <v>0</v>
      </c>
    </row>
    <row r="5" spans="1:22" ht="18" customHeight="1" x14ac:dyDescent="0.35">
      <c r="A5" s="20" t="s">
        <v>1</v>
      </c>
      <c r="B5" s="17">
        <v>34</v>
      </c>
      <c r="C5" s="12">
        <v>63</v>
      </c>
      <c r="D5" s="12">
        <v>4</v>
      </c>
      <c r="E5" s="12">
        <v>8</v>
      </c>
      <c r="F5" s="12">
        <v>4</v>
      </c>
      <c r="G5" s="12">
        <v>308</v>
      </c>
      <c r="H5" s="17">
        <v>294</v>
      </c>
      <c r="I5" s="17">
        <v>300</v>
      </c>
      <c r="J5" s="12">
        <v>18</v>
      </c>
      <c r="K5" s="12">
        <v>11</v>
      </c>
      <c r="L5" s="12">
        <v>0</v>
      </c>
      <c r="M5" s="12">
        <v>0</v>
      </c>
      <c r="N5" s="17">
        <v>4</v>
      </c>
      <c r="O5" s="17" t="s">
        <v>282</v>
      </c>
      <c r="P5" s="12">
        <v>0</v>
      </c>
      <c r="Q5" s="13">
        <v>178</v>
      </c>
      <c r="R5" s="12">
        <v>4</v>
      </c>
      <c r="S5" s="12">
        <v>4</v>
      </c>
      <c r="T5" s="29">
        <v>0</v>
      </c>
      <c r="U5" s="34">
        <v>0</v>
      </c>
    </row>
    <row r="6" spans="1:22" ht="18" customHeight="1" x14ac:dyDescent="0.35">
      <c r="A6" s="20" t="s">
        <v>2</v>
      </c>
      <c r="B6" s="17">
        <v>34</v>
      </c>
      <c r="C6" s="12">
        <v>63</v>
      </c>
      <c r="D6" s="12">
        <v>3</v>
      </c>
      <c r="E6" s="12">
        <v>8</v>
      </c>
      <c r="F6" s="12">
        <v>4</v>
      </c>
      <c r="G6" s="12">
        <v>308</v>
      </c>
      <c r="H6" s="17">
        <v>294</v>
      </c>
      <c r="I6" s="17">
        <v>300</v>
      </c>
      <c r="J6" s="12">
        <v>18</v>
      </c>
      <c r="K6" s="12">
        <v>11</v>
      </c>
      <c r="L6" s="12">
        <v>0</v>
      </c>
      <c r="M6" s="12">
        <v>0</v>
      </c>
      <c r="N6" s="17">
        <v>3</v>
      </c>
      <c r="O6" s="17" t="s">
        <v>282</v>
      </c>
      <c r="P6" s="12">
        <v>0</v>
      </c>
      <c r="Q6" s="17">
        <v>178</v>
      </c>
      <c r="R6" s="12">
        <v>6</v>
      </c>
      <c r="S6" s="12">
        <v>6</v>
      </c>
      <c r="T6" s="29">
        <v>0</v>
      </c>
      <c r="U6" s="34">
        <v>0</v>
      </c>
    </row>
    <row r="7" spans="1:22" ht="18" customHeight="1" x14ac:dyDescent="0.35">
      <c r="A7" s="20" t="s">
        <v>3</v>
      </c>
      <c r="B7" s="17">
        <v>35</v>
      </c>
      <c r="C7" s="12">
        <v>63</v>
      </c>
      <c r="D7" s="12">
        <v>3</v>
      </c>
      <c r="E7" s="12">
        <v>8</v>
      </c>
      <c r="F7" s="12">
        <v>4</v>
      </c>
      <c r="G7" s="12">
        <v>308</v>
      </c>
      <c r="H7" s="17">
        <v>294</v>
      </c>
      <c r="I7" s="17">
        <v>300</v>
      </c>
      <c r="J7" s="12">
        <v>18</v>
      </c>
      <c r="K7" s="12">
        <v>11</v>
      </c>
      <c r="L7" s="12">
        <v>0</v>
      </c>
      <c r="M7" s="12">
        <v>0</v>
      </c>
      <c r="N7" s="17">
        <v>2</v>
      </c>
      <c r="O7" s="17" t="s">
        <v>282</v>
      </c>
      <c r="P7" s="12">
        <v>0</v>
      </c>
      <c r="Q7" s="13">
        <v>178</v>
      </c>
      <c r="R7" s="12">
        <v>9</v>
      </c>
      <c r="S7" s="12">
        <v>9</v>
      </c>
      <c r="T7" s="29">
        <v>0</v>
      </c>
      <c r="U7" s="34">
        <v>0</v>
      </c>
    </row>
    <row r="8" spans="1:22" ht="18" customHeight="1" x14ac:dyDescent="0.35">
      <c r="A8" s="20" t="s">
        <v>4</v>
      </c>
      <c r="B8" s="17">
        <v>35</v>
      </c>
      <c r="C8" s="12">
        <v>63</v>
      </c>
      <c r="D8" s="12">
        <v>4</v>
      </c>
      <c r="E8" s="12">
        <v>8</v>
      </c>
      <c r="F8" s="12">
        <v>4</v>
      </c>
      <c r="G8" s="12">
        <v>308</v>
      </c>
      <c r="H8" s="12">
        <v>294</v>
      </c>
      <c r="I8" s="12">
        <v>300</v>
      </c>
      <c r="J8" s="12">
        <v>18</v>
      </c>
      <c r="K8" s="12">
        <v>11</v>
      </c>
      <c r="L8" s="12">
        <v>0</v>
      </c>
      <c r="M8" s="12">
        <v>0</v>
      </c>
      <c r="N8" s="17">
        <v>0</v>
      </c>
      <c r="O8" s="12" t="s">
        <v>282</v>
      </c>
      <c r="P8" s="12">
        <v>0</v>
      </c>
      <c r="Q8" s="17">
        <v>178</v>
      </c>
      <c r="R8" s="12">
        <v>10</v>
      </c>
      <c r="S8" s="12">
        <v>10</v>
      </c>
      <c r="T8" s="29">
        <v>0</v>
      </c>
      <c r="U8" s="34">
        <v>0</v>
      </c>
    </row>
    <row r="9" spans="1:22" ht="18" customHeight="1" x14ac:dyDescent="0.35">
      <c r="A9" s="20" t="s">
        <v>5</v>
      </c>
      <c r="B9" s="17">
        <v>35</v>
      </c>
      <c r="C9" s="12">
        <v>63</v>
      </c>
      <c r="D9" s="12">
        <v>3</v>
      </c>
      <c r="E9" s="12">
        <v>8</v>
      </c>
      <c r="F9" s="12">
        <v>4</v>
      </c>
      <c r="G9" s="12">
        <v>308</v>
      </c>
      <c r="H9" s="12">
        <v>294</v>
      </c>
      <c r="I9" s="12">
        <v>300</v>
      </c>
      <c r="J9" s="12">
        <v>18</v>
      </c>
      <c r="K9" s="12">
        <v>11</v>
      </c>
      <c r="L9" s="12">
        <v>0</v>
      </c>
      <c r="M9" s="12">
        <v>0</v>
      </c>
      <c r="N9" s="17">
        <v>0</v>
      </c>
      <c r="O9" s="12" t="s">
        <v>282</v>
      </c>
      <c r="P9" s="12">
        <v>0</v>
      </c>
      <c r="Q9" s="17">
        <v>178</v>
      </c>
      <c r="R9" s="12">
        <v>5</v>
      </c>
      <c r="S9" s="12">
        <v>5</v>
      </c>
      <c r="T9" s="29">
        <v>0</v>
      </c>
      <c r="U9" s="34">
        <v>0</v>
      </c>
    </row>
    <row r="10" spans="1:22" ht="18" customHeight="1" x14ac:dyDescent="0.35">
      <c r="A10" s="20" t="s">
        <v>6</v>
      </c>
      <c r="B10" s="17">
        <v>35</v>
      </c>
      <c r="C10" s="12">
        <v>63</v>
      </c>
      <c r="D10" s="12">
        <v>3</v>
      </c>
      <c r="E10" s="12">
        <v>8</v>
      </c>
      <c r="F10" s="12">
        <v>4</v>
      </c>
      <c r="G10" s="12">
        <v>308</v>
      </c>
      <c r="H10" s="12">
        <v>297</v>
      </c>
      <c r="I10" s="12">
        <v>300</v>
      </c>
      <c r="J10" s="12">
        <v>24</v>
      </c>
      <c r="K10" s="12">
        <v>15</v>
      </c>
      <c r="L10" s="12">
        <v>0</v>
      </c>
      <c r="M10" s="12">
        <v>0</v>
      </c>
      <c r="N10" s="17">
        <v>0</v>
      </c>
      <c r="O10" s="12" t="s">
        <v>282</v>
      </c>
      <c r="P10" s="12">
        <v>0</v>
      </c>
      <c r="Q10" s="17">
        <v>162</v>
      </c>
      <c r="R10" s="12">
        <v>6</v>
      </c>
      <c r="S10" s="12">
        <v>6</v>
      </c>
      <c r="T10" s="29">
        <v>0</v>
      </c>
      <c r="U10" s="34">
        <v>0</v>
      </c>
    </row>
    <row r="11" spans="1:22" ht="18" customHeight="1" x14ac:dyDescent="0.35">
      <c r="A11" s="20" t="s">
        <v>7</v>
      </c>
      <c r="B11" s="17">
        <v>35</v>
      </c>
      <c r="C11" s="12">
        <v>63</v>
      </c>
      <c r="D11" s="12">
        <v>4</v>
      </c>
      <c r="E11" s="12">
        <v>8</v>
      </c>
      <c r="F11" s="12">
        <v>4</v>
      </c>
      <c r="G11" s="12">
        <v>308</v>
      </c>
      <c r="H11" s="12">
        <v>297</v>
      </c>
      <c r="I11" s="12">
        <v>300</v>
      </c>
      <c r="J11" s="12">
        <v>24</v>
      </c>
      <c r="K11" s="12">
        <v>15</v>
      </c>
      <c r="L11" s="12">
        <v>0</v>
      </c>
      <c r="M11" s="12">
        <v>1</v>
      </c>
      <c r="N11" s="17">
        <v>0</v>
      </c>
      <c r="O11" s="12" t="s">
        <v>282</v>
      </c>
      <c r="P11" s="12">
        <v>0</v>
      </c>
      <c r="Q11" s="17">
        <v>162</v>
      </c>
      <c r="R11" s="12">
        <v>5</v>
      </c>
      <c r="S11" s="12">
        <v>5</v>
      </c>
      <c r="T11" s="29">
        <v>0</v>
      </c>
      <c r="U11" s="34">
        <v>0</v>
      </c>
    </row>
    <row r="12" spans="1:22" ht="18" customHeight="1" x14ac:dyDescent="0.35">
      <c r="A12" s="20" t="s">
        <v>8</v>
      </c>
      <c r="B12" s="17">
        <v>35</v>
      </c>
      <c r="C12" s="12">
        <v>63</v>
      </c>
      <c r="D12" s="12">
        <v>4</v>
      </c>
      <c r="E12" s="12">
        <v>8</v>
      </c>
      <c r="F12" s="12">
        <v>4</v>
      </c>
      <c r="G12" s="12">
        <v>308</v>
      </c>
      <c r="H12" s="12">
        <v>299</v>
      </c>
      <c r="I12" s="12">
        <v>300</v>
      </c>
      <c r="J12" s="12">
        <v>24</v>
      </c>
      <c r="K12" s="12">
        <v>15</v>
      </c>
      <c r="L12" s="12">
        <v>0</v>
      </c>
      <c r="M12" s="12">
        <v>0</v>
      </c>
      <c r="N12" s="12">
        <v>0</v>
      </c>
      <c r="O12" s="12" t="s">
        <v>282</v>
      </c>
      <c r="P12" s="12">
        <v>0</v>
      </c>
      <c r="Q12" s="17">
        <v>162</v>
      </c>
      <c r="R12" s="12">
        <v>5</v>
      </c>
      <c r="S12" s="12">
        <v>5</v>
      </c>
      <c r="T12" s="29">
        <v>0</v>
      </c>
      <c r="U12" s="34">
        <v>0</v>
      </c>
    </row>
    <row r="13" spans="1:22" ht="18" customHeight="1" x14ac:dyDescent="0.35">
      <c r="A13" s="20" t="s">
        <v>9</v>
      </c>
      <c r="B13" s="17">
        <v>35</v>
      </c>
      <c r="C13" s="12">
        <v>63</v>
      </c>
      <c r="D13" s="12">
        <v>4</v>
      </c>
      <c r="E13" s="12">
        <v>8</v>
      </c>
      <c r="F13" s="12">
        <v>4</v>
      </c>
      <c r="G13" s="12">
        <v>308</v>
      </c>
      <c r="H13" s="12">
        <v>299</v>
      </c>
      <c r="I13" s="12">
        <v>300</v>
      </c>
      <c r="J13" s="12">
        <v>24</v>
      </c>
      <c r="K13" s="12">
        <v>15</v>
      </c>
      <c r="L13" s="12">
        <v>0</v>
      </c>
      <c r="M13" s="12">
        <v>0</v>
      </c>
      <c r="N13" s="12">
        <v>0</v>
      </c>
      <c r="O13" s="12" t="s">
        <v>282</v>
      </c>
      <c r="P13" s="12">
        <v>0</v>
      </c>
      <c r="Q13" s="17">
        <v>162</v>
      </c>
      <c r="R13" s="12">
        <v>6</v>
      </c>
      <c r="S13" s="12">
        <v>6</v>
      </c>
      <c r="T13" s="29">
        <v>0</v>
      </c>
      <c r="U13" s="34">
        <v>0</v>
      </c>
    </row>
    <row r="14" spans="1:22" ht="18" customHeight="1" x14ac:dyDescent="0.35">
      <c r="A14" s="20" t="s">
        <v>10</v>
      </c>
      <c r="B14" s="17">
        <v>55</v>
      </c>
      <c r="C14" s="12">
        <v>63</v>
      </c>
      <c r="D14" s="12">
        <v>3</v>
      </c>
      <c r="E14" s="12">
        <v>8</v>
      </c>
      <c r="F14" s="12">
        <v>4</v>
      </c>
      <c r="G14" s="12">
        <v>308</v>
      </c>
      <c r="H14" s="12">
        <v>300</v>
      </c>
      <c r="I14" s="12">
        <v>300</v>
      </c>
      <c r="J14" s="12">
        <v>22</v>
      </c>
      <c r="K14" s="12">
        <v>14</v>
      </c>
      <c r="L14" s="12">
        <v>0</v>
      </c>
      <c r="M14" s="12">
        <v>0</v>
      </c>
      <c r="N14" s="12">
        <v>0</v>
      </c>
      <c r="O14" s="12" t="s">
        <v>282</v>
      </c>
      <c r="P14" s="12">
        <v>0</v>
      </c>
      <c r="Q14" s="17">
        <v>162</v>
      </c>
      <c r="R14" s="12">
        <v>4</v>
      </c>
      <c r="S14" s="12">
        <v>4</v>
      </c>
      <c r="T14" s="29">
        <v>0</v>
      </c>
      <c r="U14" s="34">
        <v>0</v>
      </c>
    </row>
    <row r="15" spans="1:22" ht="18" customHeight="1" x14ac:dyDescent="0.35">
      <c r="A15" s="20" t="s">
        <v>11</v>
      </c>
      <c r="B15" s="17">
        <v>60</v>
      </c>
      <c r="C15" s="12">
        <v>63</v>
      </c>
      <c r="D15" s="12">
        <v>3</v>
      </c>
      <c r="E15" s="12">
        <v>8</v>
      </c>
      <c r="F15" s="12">
        <v>4</v>
      </c>
      <c r="G15" s="12">
        <v>308</v>
      </c>
      <c r="H15" s="12">
        <v>82</v>
      </c>
      <c r="I15" s="12">
        <v>82</v>
      </c>
      <c r="J15" s="12">
        <v>22</v>
      </c>
      <c r="K15" s="12">
        <v>14</v>
      </c>
      <c r="L15" s="12">
        <v>0</v>
      </c>
      <c r="M15" s="12">
        <v>0</v>
      </c>
      <c r="N15" s="12">
        <v>0</v>
      </c>
      <c r="O15" s="12" t="s">
        <v>282</v>
      </c>
      <c r="P15" s="12">
        <v>0</v>
      </c>
      <c r="Q15" s="17">
        <v>162</v>
      </c>
      <c r="R15" s="12">
        <v>5</v>
      </c>
      <c r="S15" s="12">
        <v>5</v>
      </c>
      <c r="T15" s="29">
        <v>0</v>
      </c>
      <c r="U15" s="34">
        <v>0</v>
      </c>
    </row>
    <row r="16" spans="1:22" ht="18" customHeight="1" x14ac:dyDescent="0.35">
      <c r="A16" s="20" t="s">
        <v>12</v>
      </c>
      <c r="B16" s="17">
        <v>60</v>
      </c>
      <c r="C16" s="12">
        <v>63</v>
      </c>
      <c r="D16" s="12">
        <v>4</v>
      </c>
      <c r="E16" s="12">
        <v>8</v>
      </c>
      <c r="F16" s="12">
        <v>4</v>
      </c>
      <c r="G16" s="12">
        <v>308</v>
      </c>
      <c r="H16" s="12">
        <v>82</v>
      </c>
      <c r="I16" s="12">
        <v>82</v>
      </c>
      <c r="J16" s="12">
        <v>20</v>
      </c>
      <c r="K16" s="12">
        <v>14</v>
      </c>
      <c r="L16" s="12">
        <v>0</v>
      </c>
      <c r="M16" s="12">
        <v>0</v>
      </c>
      <c r="N16" s="12">
        <v>0</v>
      </c>
      <c r="O16" s="12" t="s">
        <v>282</v>
      </c>
      <c r="P16" s="12">
        <v>0</v>
      </c>
      <c r="Q16" s="17">
        <v>162</v>
      </c>
      <c r="R16" s="12">
        <v>8</v>
      </c>
      <c r="S16" s="12">
        <v>8</v>
      </c>
      <c r="T16" s="29">
        <v>0</v>
      </c>
      <c r="U16" s="34">
        <v>0</v>
      </c>
    </row>
    <row r="17" spans="1:21" ht="18" customHeight="1" x14ac:dyDescent="0.35">
      <c r="A17" s="20" t="s">
        <v>13</v>
      </c>
      <c r="B17" s="17">
        <v>65</v>
      </c>
      <c r="C17" s="12">
        <v>65</v>
      </c>
      <c r="D17" s="12">
        <v>4</v>
      </c>
      <c r="E17" s="12">
        <v>8</v>
      </c>
      <c r="F17" s="12">
        <v>4</v>
      </c>
      <c r="G17" s="12">
        <v>308</v>
      </c>
      <c r="H17" s="12">
        <v>103</v>
      </c>
      <c r="I17" s="12">
        <v>293</v>
      </c>
      <c r="J17" s="12">
        <v>20</v>
      </c>
      <c r="K17" s="12">
        <v>14</v>
      </c>
      <c r="L17" s="12">
        <v>0</v>
      </c>
      <c r="M17" s="12">
        <v>0</v>
      </c>
      <c r="N17" s="12">
        <v>0</v>
      </c>
      <c r="O17" s="12" t="s">
        <v>282</v>
      </c>
      <c r="P17" s="12">
        <v>0</v>
      </c>
      <c r="Q17" s="17">
        <v>162</v>
      </c>
      <c r="R17" s="12">
        <v>10</v>
      </c>
      <c r="S17" s="12">
        <v>10</v>
      </c>
      <c r="T17" s="29">
        <v>0</v>
      </c>
      <c r="U17" s="34">
        <v>0</v>
      </c>
    </row>
    <row r="18" spans="1:21" ht="18" customHeight="1" x14ac:dyDescent="0.35">
      <c r="A18" s="20" t="s">
        <v>14</v>
      </c>
      <c r="B18" s="17">
        <v>65</v>
      </c>
      <c r="C18" s="12">
        <v>65</v>
      </c>
      <c r="D18" s="12">
        <v>4</v>
      </c>
      <c r="E18" s="12">
        <v>8</v>
      </c>
      <c r="F18" s="12">
        <v>4</v>
      </c>
      <c r="G18" s="12">
        <v>308</v>
      </c>
      <c r="H18" s="12">
        <v>196</v>
      </c>
      <c r="I18" s="12">
        <v>293</v>
      </c>
      <c r="J18" s="12">
        <v>20</v>
      </c>
      <c r="K18" s="12">
        <v>14</v>
      </c>
      <c r="L18" s="12">
        <v>0</v>
      </c>
      <c r="M18" s="12">
        <v>0</v>
      </c>
      <c r="N18" s="12">
        <v>0</v>
      </c>
      <c r="O18" s="12" t="s">
        <v>282</v>
      </c>
      <c r="P18" s="12">
        <v>0</v>
      </c>
      <c r="Q18" s="17">
        <v>162</v>
      </c>
      <c r="R18" s="12">
        <v>5</v>
      </c>
      <c r="S18" s="12">
        <v>5</v>
      </c>
      <c r="T18" s="29">
        <v>0</v>
      </c>
      <c r="U18" s="34">
        <v>0</v>
      </c>
    </row>
    <row r="19" spans="1:21" ht="18" customHeight="1" x14ac:dyDescent="0.35">
      <c r="A19" s="20" t="s">
        <v>15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29"/>
      <c r="U19" s="34"/>
    </row>
    <row r="20" spans="1:21" ht="18" customHeight="1" x14ac:dyDescent="0.35">
      <c r="A20" s="20" t="s">
        <v>16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29"/>
      <c r="U20" s="34"/>
    </row>
    <row r="21" spans="1:21" ht="18" customHeight="1" x14ac:dyDescent="0.35">
      <c r="A21" s="20" t="s">
        <v>17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29"/>
      <c r="U21" s="34"/>
    </row>
    <row r="22" spans="1:21" ht="18" customHeight="1" x14ac:dyDescent="0.35">
      <c r="A22" s="20" t="s">
        <v>18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29"/>
      <c r="U22" s="34"/>
    </row>
    <row r="23" spans="1:21" ht="18" customHeight="1" x14ac:dyDescent="0.35">
      <c r="A23" s="20" t="s">
        <v>19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29"/>
      <c r="U23" s="34"/>
    </row>
    <row r="24" spans="1:21" ht="18" customHeight="1" x14ac:dyDescent="0.35">
      <c r="A24" s="20" t="s">
        <v>20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29"/>
      <c r="U24" s="34"/>
    </row>
    <row r="25" spans="1:21" ht="18" customHeight="1" x14ac:dyDescent="0.35">
      <c r="A25" s="20" t="s">
        <v>21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29"/>
      <c r="U25" s="34"/>
    </row>
    <row r="26" spans="1:21" ht="18" customHeight="1" x14ac:dyDescent="0.35">
      <c r="A26" s="20" t="s">
        <v>22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29"/>
      <c r="U26" s="34"/>
    </row>
    <row r="27" spans="1:21" ht="18" customHeight="1" x14ac:dyDescent="0.35">
      <c r="A27" s="20" t="s">
        <v>23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29"/>
      <c r="U27" s="34"/>
    </row>
    <row r="28" spans="1:21" ht="18" customHeight="1" x14ac:dyDescent="0.35">
      <c r="A28" s="20" t="s">
        <v>24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29"/>
      <c r="U28" s="34"/>
    </row>
    <row r="29" spans="1:21" ht="18" customHeight="1" x14ac:dyDescent="0.35">
      <c r="A29" s="20" t="s">
        <v>25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29"/>
      <c r="U29" s="34"/>
    </row>
    <row r="30" spans="1:21" ht="18" customHeight="1" x14ac:dyDescent="0.35">
      <c r="A30" s="20" t="s">
        <v>26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29"/>
      <c r="U30" s="34"/>
    </row>
    <row r="31" spans="1:21" ht="18" customHeight="1" x14ac:dyDescent="0.35">
      <c r="A31" s="20" t="s">
        <v>27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29"/>
      <c r="U31" s="34"/>
    </row>
    <row r="32" spans="1:21" ht="18" customHeight="1" x14ac:dyDescent="0.35">
      <c r="A32" s="20" t="s">
        <v>28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29"/>
      <c r="U32" s="34"/>
    </row>
    <row r="33" spans="1:21" ht="18" customHeight="1" x14ac:dyDescent="0.35">
      <c r="A33" s="20" t="s">
        <v>29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29"/>
      <c r="U33" s="34"/>
    </row>
    <row r="34" spans="1:21" ht="18" customHeight="1" x14ac:dyDescent="0.35">
      <c r="A34" s="20" t="s">
        <v>30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29"/>
      <c r="U34" s="34"/>
    </row>
    <row r="35" spans="1:21" ht="18" customHeight="1" x14ac:dyDescent="0.35">
      <c r="A35" s="20" t="s">
        <v>31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29"/>
      <c r="U35" s="34"/>
    </row>
    <row r="36" spans="1:21" ht="18" customHeight="1" x14ac:dyDescent="0.35">
      <c r="A36" s="20" t="s">
        <v>32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29"/>
      <c r="U36" s="34"/>
    </row>
    <row r="37" spans="1:21" ht="18" customHeight="1" x14ac:dyDescent="0.35">
      <c r="A37" s="20" t="s">
        <v>33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29"/>
      <c r="U37" s="34"/>
    </row>
    <row r="38" spans="1:21" ht="18" customHeight="1" x14ac:dyDescent="0.35">
      <c r="A38" s="20" t="s">
        <v>34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29"/>
      <c r="U38" s="34"/>
    </row>
    <row r="39" spans="1:21" ht="18" customHeight="1" x14ac:dyDescent="0.35">
      <c r="A39" s="20" t="s">
        <v>35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29"/>
      <c r="U39" s="34"/>
    </row>
    <row r="40" spans="1:21" ht="18" customHeight="1" x14ac:dyDescent="0.35">
      <c r="A40" s="20" t="s">
        <v>36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29"/>
      <c r="U40" s="34"/>
    </row>
    <row r="41" spans="1:21" ht="18" customHeight="1" x14ac:dyDescent="0.35">
      <c r="A41" s="20" t="s">
        <v>37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29"/>
      <c r="U41" s="34"/>
    </row>
    <row r="42" spans="1:21" ht="18" customHeight="1" x14ac:dyDescent="0.35">
      <c r="A42" s="20" t="s">
        <v>38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29"/>
      <c r="U42" s="34"/>
    </row>
    <row r="43" spans="1:21" ht="18" customHeight="1" x14ac:dyDescent="0.35">
      <c r="A43" s="20" t="s">
        <v>39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29"/>
      <c r="U43" s="34"/>
    </row>
    <row r="44" spans="1:21" ht="18" customHeight="1" x14ac:dyDescent="0.35">
      <c r="A44" s="20" t="s">
        <v>40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29"/>
      <c r="U44" s="34"/>
    </row>
    <row r="45" spans="1:21" ht="18" customHeight="1" x14ac:dyDescent="0.35">
      <c r="A45" s="20" t="s">
        <v>41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29"/>
      <c r="U45" s="34"/>
    </row>
    <row r="46" spans="1:21" ht="18" customHeight="1" x14ac:dyDescent="0.35">
      <c r="A46" s="20" t="s">
        <v>42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29"/>
      <c r="U46" s="34"/>
    </row>
    <row r="47" spans="1:21" ht="18" customHeight="1" x14ac:dyDescent="0.35">
      <c r="A47" s="20" t="s">
        <v>43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29"/>
      <c r="U47" s="34"/>
    </row>
    <row r="48" spans="1:21" ht="18" customHeight="1" x14ac:dyDescent="0.35">
      <c r="A48" s="20" t="s">
        <v>44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29"/>
      <c r="U48" s="34"/>
    </row>
    <row r="49" spans="1:21" ht="18" customHeight="1" x14ac:dyDescent="0.35">
      <c r="A49" s="20" t="s">
        <v>45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29"/>
      <c r="U49" s="34"/>
    </row>
    <row r="50" spans="1:21" ht="18" customHeight="1" x14ac:dyDescent="0.35">
      <c r="A50" s="20" t="s">
        <v>46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29"/>
      <c r="U50" s="34"/>
    </row>
    <row r="51" spans="1:21" ht="18" customHeight="1" x14ac:dyDescent="0.35">
      <c r="A51" s="20" t="s">
        <v>47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29"/>
      <c r="U51" s="34"/>
    </row>
    <row r="52" spans="1:21" ht="18" customHeight="1" x14ac:dyDescent="0.35">
      <c r="A52" s="20" t="s">
        <v>48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29"/>
      <c r="U52" s="34"/>
    </row>
    <row r="53" spans="1:21" ht="18" customHeight="1" x14ac:dyDescent="0.35">
      <c r="A53" s="20" t="s">
        <v>49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29"/>
      <c r="U53" s="34"/>
    </row>
    <row r="54" spans="1:21" ht="18" customHeight="1" x14ac:dyDescent="0.35">
      <c r="A54" s="21" t="s">
        <v>50</v>
      </c>
      <c r="B54" s="22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30"/>
      <c r="U54" s="35"/>
    </row>
    <row r="55" spans="1:21" ht="18" customHeight="1" thickBot="1" x14ac:dyDescent="0.4">
      <c r="A55" s="24" t="s">
        <v>51</v>
      </c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31"/>
      <c r="U55" s="36"/>
    </row>
    <row r="57" spans="1:21" ht="16" customHeight="1" x14ac:dyDescent="0.35">
      <c r="A57" s="37" t="s">
        <v>94</v>
      </c>
    </row>
  </sheetData>
  <mergeCells count="1">
    <mergeCell ref="A1:V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ER_ACCUEIL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_Charger">
              <controlPr defaultSize="0" print="0" autoFill="0" autoPict="0" macro="[0]!CHARGER_DONNEES_FILIALE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127000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_Sauver">
              <controlPr defaultSize="0" print="0" autoFill="0" autoPict="0" macro="[0]!SAUVEGARDER_DONNEES_FILIALE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1009650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_Retour">
              <controlPr defaultSize="0" print="0" autoFill="0" autoPict="0" macro="[0]!ALLER_ACCUEIL">
                <anchor moveWithCells="1" siz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882650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7" name="Btn_Save_EN">
              <controlPr defaultSize="0" print="0" autoFill="0" autoPict="0" macro="[0]!SAUVEGARDER_DONNEES_FILIALE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127000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8" name="Btn_Load_EN">
              <controlPr defaultSize="0" print="0" autoFill="0" autoPict="0" macro="[0]!CHARGER_DONNEES_FILIALE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1009650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9" name="Btn_Save_FR">
              <controlPr defaultSize="0" print="0" autoFill="0" autoPict="0" macro="[0]!SAUVEGARDER_DONNEES_FILIALE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127000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0" name="Btn_Load_FR">
              <controlPr defaultSize="0" print="0" autoFill="0" autoPict="0" macro="[0]!CHARGER_DONNEES_FILIALE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1009650</xdr:colOff>
                    <xdr:row>58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1" name="Btn_Logout_M">
              <controlPr defaultSize="0" print="0" autoFill="0" autoPict="0" macro="[0]!DECONNEXION">
                <anchor moveWithCells="1" siz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882650</xdr:colOff>
                    <xdr:row>58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C457B-F9E2-4A98-A525-88E878FB4F40}">
  <sheetPr codeName="Feuil20"/>
  <dimension ref="A1:Z20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P1"/>
    </sheetView>
  </sheetViews>
  <sheetFormatPr baseColWidth="10" defaultRowHeight="14.5" x14ac:dyDescent="0.35"/>
  <cols>
    <col min="1" max="1" width="3.6328125" customWidth="1"/>
    <col min="2" max="2" width="20.6328125" customWidth="1"/>
    <col min="3" max="5" width="3.6328125" customWidth="1"/>
    <col min="6" max="6" width="20.6328125" customWidth="1"/>
    <col min="7" max="9" width="3.6328125" customWidth="1"/>
    <col min="10" max="10" width="20.6328125" customWidth="1"/>
    <col min="11" max="13" width="3.6328125" customWidth="1"/>
    <col min="14" max="14" width="18.6328125" customWidth="1"/>
    <col min="15" max="16" width="3.6328125" customWidth="1"/>
  </cols>
  <sheetData>
    <row r="1" spans="1:26" ht="35" customHeight="1" x14ac:dyDescent="0.35">
      <c r="A1" s="231" t="s">
        <v>208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</row>
    <row r="2" spans="1:26" ht="22" customHeight="1" x14ac:dyDescent="0.35">
      <c r="A2" s="200" t="s">
        <v>283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26" ht="10" customHeight="1" x14ac:dyDescent="0.35"/>
    <row r="4" spans="1:26" ht="35" customHeight="1" x14ac:dyDescent="0.35">
      <c r="A4" s="201"/>
      <c r="B4" s="201"/>
      <c r="C4" s="201"/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</row>
    <row r="5" spans="1:26" ht="4" customHeigh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26" ht="28" customHeight="1" x14ac:dyDescent="0.35">
      <c r="A6" s="237" t="s">
        <v>284</v>
      </c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4" customHeight="1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4" customHeight="1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" customHeight="1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" customHeight="1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" customHeight="1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" customHeight="1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" customHeight="1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" customHeight="1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" customHeight="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" customHeight="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" customHeight="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" customHeight="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" customHeight="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" customHeight="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" customHeight="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" customHeight="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" customHeight="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" customHeight="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" customHeight="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" customHeight="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" customHeight="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" customHeight="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" customHeight="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" customHeigh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" customHeight="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" customHeight="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" customHeight="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" customHeight="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" customHeight="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" customHeigh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" customHeight="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0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0" customHeight="1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40" customHeight="1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8" customHeight="1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8" customHeight="1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8" customHeight="1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8" customHeight="1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8" customHeight="1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8" customHeight="1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8" customHeight="1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8" customHeight="1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8" customHeight="1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0" customHeight="1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2" customHeight="1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2" customHeight="1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2" customHeight="1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2" customHeight="1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2" customHeight="1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2" customHeight="1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2" customHeight="1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2" customHeight="1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2" customHeight="1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2" customHeight="1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</sheetData>
  <mergeCells count="2">
    <mergeCell ref="A1:P1"/>
    <mergeCell ref="A6:P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3" name="Btn_Gouvernance">
              <controlPr defaultSize="0" print="0" autoFill="0" autoPict="0" macro="[0]!GRAPHIQUES_GOUVERNANCE">
                <anchor moveWithCells="1" sizeWithCells="1">
                  <from>
                    <xdr:col>0</xdr:col>
                    <xdr:colOff>247650</xdr:colOff>
                    <xdr:row>3</xdr:row>
                    <xdr:rowOff>50800</xdr:rowOff>
                  </from>
                  <to>
                    <xdr:col>5</xdr:col>
                    <xdr:colOff>69850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4" name="Btn_AML">
              <controlPr defaultSize="0" print="0" autoFill="0" autoPict="0" macro="[0]!GRAPHIQUES_AML">
                <anchor moveWithCells="1" sizeWithCells="1">
                  <from>
                    <xdr:col>4</xdr:col>
                    <xdr:colOff>247650</xdr:colOff>
                    <xdr:row>3</xdr:row>
                    <xdr:rowOff>50800</xdr:rowOff>
                  </from>
                  <to>
                    <xdr:col>9</xdr:col>
                    <xdr:colOff>69850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tn_Sanctions">
              <controlPr defaultSize="0" print="0" autoFill="0" autoPict="0" macro="[0]!GRAPHIQUES_SANCTIONS">
                <anchor moveWithCells="1" sizeWithCells="1">
                  <from>
                    <xdr:col>8</xdr:col>
                    <xdr:colOff>241300</xdr:colOff>
                    <xdr:row>3</xdr:row>
                    <xdr:rowOff>50800</xdr:rowOff>
                  </from>
                  <to>
                    <xdr:col>13</xdr:col>
                    <xdr:colOff>57150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6" name="Btn_Retour_GR">
              <controlPr defaultSize="0" print="0" autoFill="0" autoPict="0" macro="[0]!ALLER_ACCUEIL">
                <anchor moveWithCells="1" sizeWithCells="1">
                  <from>
                    <xdr:col>12</xdr:col>
                    <xdr:colOff>228600</xdr:colOff>
                    <xdr:row>3</xdr:row>
                    <xdr:rowOff>50800</xdr:rowOff>
                  </from>
                  <to>
                    <xdr:col>16</xdr:col>
                    <xdr:colOff>57150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AD3EE-9EF2-492B-8A96-4C52B058ECFE}">
  <sheetPr codeName="Feuil21"/>
  <dimension ref="A1:F33"/>
  <sheetViews>
    <sheetView topLeftCell="A28" workbookViewId="0">
      <selection sqref="A1:F1"/>
    </sheetView>
  </sheetViews>
  <sheetFormatPr baseColWidth="10" defaultRowHeight="14.5" x14ac:dyDescent="0.35"/>
  <cols>
    <col min="1" max="1" width="12.6328125" customWidth="1"/>
    <col min="2" max="2" width="25.6328125" customWidth="1"/>
    <col min="3" max="3" width="40.6328125" customWidth="1"/>
    <col min="4" max="4" width="30.6328125" customWidth="1"/>
    <col min="5" max="5" width="10.6328125" customWidth="1"/>
    <col min="6" max="6" width="12.6328125" customWidth="1"/>
  </cols>
  <sheetData>
    <row r="1" spans="1:6" ht="35" customHeight="1" x14ac:dyDescent="0.35">
      <c r="A1" s="231" t="s">
        <v>217</v>
      </c>
      <c r="B1" s="217"/>
      <c r="C1" s="217"/>
      <c r="D1" s="217"/>
      <c r="E1" s="217"/>
      <c r="F1" s="217"/>
    </row>
    <row r="2" spans="1:6" ht="22" customHeight="1" x14ac:dyDescent="0.35">
      <c r="A2" s="142" t="s">
        <v>273</v>
      </c>
      <c r="B2" s="6" t="s">
        <v>198</v>
      </c>
      <c r="C2" s="6"/>
      <c r="D2" s="6"/>
      <c r="E2" s="6"/>
      <c r="F2" s="6"/>
    </row>
    <row r="3" spans="1:6" ht="22" customHeight="1" thickBot="1" x14ac:dyDescent="0.4">
      <c r="A3" s="190" t="s">
        <v>209</v>
      </c>
      <c r="B3" s="190" t="s">
        <v>129</v>
      </c>
      <c r="C3" s="190" t="s">
        <v>210</v>
      </c>
      <c r="D3" s="190" t="s">
        <v>218</v>
      </c>
      <c r="E3" s="190" t="s">
        <v>130</v>
      </c>
      <c r="F3" s="190" t="s">
        <v>219</v>
      </c>
    </row>
    <row r="4" spans="1:6" ht="30" customHeight="1" x14ac:dyDescent="0.35">
      <c r="A4" s="186" t="s">
        <v>220</v>
      </c>
      <c r="B4" s="187" t="s">
        <v>96</v>
      </c>
      <c r="C4" s="188" t="s">
        <v>221</v>
      </c>
      <c r="D4" s="188" t="s">
        <v>222</v>
      </c>
      <c r="E4" s="189">
        <v>0.95</v>
      </c>
      <c r="F4" s="188" t="s">
        <v>223</v>
      </c>
    </row>
    <row r="5" spans="1:6" ht="30" customHeight="1" x14ac:dyDescent="0.35">
      <c r="A5" s="183" t="s">
        <v>220</v>
      </c>
      <c r="B5" s="129" t="s">
        <v>97</v>
      </c>
      <c r="C5" s="184" t="s">
        <v>224</v>
      </c>
      <c r="D5" s="184" t="s">
        <v>225</v>
      </c>
      <c r="E5" s="185">
        <v>0.98</v>
      </c>
      <c r="F5" s="184" t="s">
        <v>223</v>
      </c>
    </row>
    <row r="6" spans="1:6" ht="30" customHeight="1" x14ac:dyDescent="0.35">
      <c r="A6" s="180" t="s">
        <v>220</v>
      </c>
      <c r="B6" s="125" t="s">
        <v>98</v>
      </c>
      <c r="C6" s="181" t="s">
        <v>226</v>
      </c>
      <c r="D6" s="181" t="s">
        <v>227</v>
      </c>
      <c r="E6" s="182">
        <v>0.99</v>
      </c>
      <c r="F6" s="181" t="s">
        <v>223</v>
      </c>
    </row>
    <row r="7" spans="1:6" ht="30" customHeight="1" x14ac:dyDescent="0.35">
      <c r="A7" s="183" t="s">
        <v>220</v>
      </c>
      <c r="B7" s="129" t="s">
        <v>141</v>
      </c>
      <c r="C7" s="184" t="s">
        <v>228</v>
      </c>
      <c r="D7" s="184" t="s">
        <v>229</v>
      </c>
      <c r="E7" s="183" t="s">
        <v>133</v>
      </c>
      <c r="F7" s="184" t="s">
        <v>223</v>
      </c>
    </row>
    <row r="8" spans="1:6" ht="30" customHeight="1" x14ac:dyDescent="0.35">
      <c r="A8" s="180" t="s">
        <v>220</v>
      </c>
      <c r="B8" s="125" t="s">
        <v>142</v>
      </c>
      <c r="C8" s="181" t="s">
        <v>230</v>
      </c>
      <c r="D8" s="181" t="s">
        <v>231</v>
      </c>
      <c r="E8" s="182">
        <v>1</v>
      </c>
      <c r="F8" s="181" t="s">
        <v>223</v>
      </c>
    </row>
    <row r="9" spans="1:6" ht="30" customHeight="1" x14ac:dyDescent="0.35">
      <c r="A9" s="183" t="s">
        <v>220</v>
      </c>
      <c r="B9" s="129" t="s">
        <v>232</v>
      </c>
      <c r="C9" s="184" t="s">
        <v>233</v>
      </c>
      <c r="D9" s="184" t="s">
        <v>227</v>
      </c>
      <c r="E9" s="183">
        <v>0</v>
      </c>
      <c r="F9" s="184" t="s">
        <v>223</v>
      </c>
    </row>
    <row r="10" spans="1:6" ht="30" customHeight="1" x14ac:dyDescent="0.35">
      <c r="A10" s="180" t="s">
        <v>220</v>
      </c>
      <c r="B10" s="125" t="s">
        <v>234</v>
      </c>
      <c r="C10" s="181" t="s">
        <v>235</v>
      </c>
      <c r="D10" s="181" t="s">
        <v>227</v>
      </c>
      <c r="E10" s="180">
        <v>0</v>
      </c>
      <c r="F10" s="181" t="s">
        <v>223</v>
      </c>
    </row>
    <row r="11" spans="1:6" ht="30" customHeight="1" x14ac:dyDescent="0.35">
      <c r="A11" s="183" t="s">
        <v>220</v>
      </c>
      <c r="B11" s="129" t="s">
        <v>236</v>
      </c>
      <c r="C11" s="184" t="s">
        <v>237</v>
      </c>
      <c r="D11" s="184" t="s">
        <v>227</v>
      </c>
      <c r="E11" s="183">
        <v>0</v>
      </c>
      <c r="F11" s="184" t="s">
        <v>223</v>
      </c>
    </row>
    <row r="12" spans="1:6" ht="30" customHeight="1" x14ac:dyDescent="0.35">
      <c r="A12" s="180" t="s">
        <v>220</v>
      </c>
      <c r="B12" s="125" t="s">
        <v>238</v>
      </c>
      <c r="C12" s="181" t="s">
        <v>239</v>
      </c>
      <c r="D12" s="181" t="s">
        <v>240</v>
      </c>
      <c r="E12" s="182">
        <v>1</v>
      </c>
      <c r="F12" s="181" t="s">
        <v>223</v>
      </c>
    </row>
    <row r="13" spans="1:6" ht="30" customHeight="1" x14ac:dyDescent="0.35">
      <c r="A13" s="183" t="s">
        <v>220</v>
      </c>
      <c r="B13" s="129" t="s">
        <v>241</v>
      </c>
      <c r="C13" s="184" t="s">
        <v>242</v>
      </c>
      <c r="D13" s="184" t="s">
        <v>227</v>
      </c>
      <c r="E13" s="185">
        <v>0.86</v>
      </c>
      <c r="F13" s="184" t="s">
        <v>223</v>
      </c>
    </row>
    <row r="14" spans="1:6" ht="30" customHeight="1" x14ac:dyDescent="0.35">
      <c r="A14" s="180" t="s">
        <v>211</v>
      </c>
      <c r="B14" s="125" t="s">
        <v>148</v>
      </c>
      <c r="C14" s="181" t="s">
        <v>243</v>
      </c>
      <c r="D14" s="181" t="s">
        <v>212</v>
      </c>
      <c r="E14" s="182">
        <v>1</v>
      </c>
      <c r="F14" s="181" t="s">
        <v>223</v>
      </c>
    </row>
    <row r="15" spans="1:6" ht="30" customHeight="1" x14ac:dyDescent="0.35">
      <c r="A15" s="183" t="s">
        <v>211</v>
      </c>
      <c r="B15" s="129" t="s">
        <v>149</v>
      </c>
      <c r="C15" s="184" t="s">
        <v>244</v>
      </c>
      <c r="D15" s="184" t="s">
        <v>227</v>
      </c>
      <c r="E15" s="183">
        <v>0</v>
      </c>
      <c r="F15" s="184" t="s">
        <v>223</v>
      </c>
    </row>
    <row r="16" spans="1:6" ht="30" customHeight="1" x14ac:dyDescent="0.35">
      <c r="A16" s="180" t="s">
        <v>211</v>
      </c>
      <c r="B16" s="125" t="s">
        <v>245</v>
      </c>
      <c r="C16" s="181" t="s">
        <v>246</v>
      </c>
      <c r="D16" s="181" t="s">
        <v>247</v>
      </c>
      <c r="E16" s="182">
        <v>1</v>
      </c>
      <c r="F16" s="181" t="s">
        <v>223</v>
      </c>
    </row>
    <row r="17" spans="1:6" ht="30" customHeight="1" x14ac:dyDescent="0.35">
      <c r="A17" s="183" t="s">
        <v>211</v>
      </c>
      <c r="B17" s="129" t="s">
        <v>151</v>
      </c>
      <c r="C17" s="184" t="s">
        <v>248</v>
      </c>
      <c r="D17" s="184" t="s">
        <v>249</v>
      </c>
      <c r="E17" s="185">
        <v>1</v>
      </c>
      <c r="F17" s="184" t="s">
        <v>223</v>
      </c>
    </row>
    <row r="18" spans="1:6" ht="30" customHeight="1" x14ac:dyDescent="0.35">
      <c r="A18" s="180" t="s">
        <v>211</v>
      </c>
      <c r="B18" s="125" t="s">
        <v>110</v>
      </c>
      <c r="C18" s="181" t="s">
        <v>250</v>
      </c>
      <c r="D18" s="181" t="s">
        <v>227</v>
      </c>
      <c r="E18" s="180" t="s">
        <v>133</v>
      </c>
      <c r="F18" s="181" t="s">
        <v>223</v>
      </c>
    </row>
    <row r="19" spans="1:6" ht="30" customHeight="1" x14ac:dyDescent="0.35">
      <c r="A19" s="183" t="s">
        <v>211</v>
      </c>
      <c r="B19" s="129" t="s">
        <v>251</v>
      </c>
      <c r="C19" s="184" t="s">
        <v>252</v>
      </c>
      <c r="D19" s="184" t="s">
        <v>227</v>
      </c>
      <c r="E19" s="183" t="s">
        <v>133</v>
      </c>
      <c r="F19" s="184" t="s">
        <v>223</v>
      </c>
    </row>
    <row r="20" spans="1:6" ht="30" customHeight="1" x14ac:dyDescent="0.35">
      <c r="A20" s="180" t="s">
        <v>211</v>
      </c>
      <c r="B20" s="125" t="s">
        <v>112</v>
      </c>
      <c r="C20" s="181" t="s">
        <v>253</v>
      </c>
      <c r="D20" s="181" t="s">
        <v>227</v>
      </c>
      <c r="E20" s="180" t="s">
        <v>133</v>
      </c>
      <c r="F20" s="181" t="s">
        <v>223</v>
      </c>
    </row>
    <row r="21" spans="1:6" ht="30" customHeight="1" x14ac:dyDescent="0.35">
      <c r="A21" s="183" t="s">
        <v>211</v>
      </c>
      <c r="B21" s="129" t="s">
        <v>113</v>
      </c>
      <c r="C21" s="184" t="s">
        <v>254</v>
      </c>
      <c r="D21" s="184" t="s">
        <v>227</v>
      </c>
      <c r="E21" s="183" t="s">
        <v>133</v>
      </c>
      <c r="F21" s="184" t="s">
        <v>223</v>
      </c>
    </row>
    <row r="22" spans="1:6" ht="30" customHeight="1" x14ac:dyDescent="0.35">
      <c r="A22" s="180" t="s">
        <v>211</v>
      </c>
      <c r="B22" s="125" t="s">
        <v>255</v>
      </c>
      <c r="C22" s="181" t="s">
        <v>256</v>
      </c>
      <c r="D22" s="181" t="s">
        <v>227</v>
      </c>
      <c r="E22" s="180" t="s">
        <v>133</v>
      </c>
      <c r="F22" s="181" t="s">
        <v>223</v>
      </c>
    </row>
    <row r="23" spans="1:6" ht="30" customHeight="1" x14ac:dyDescent="0.35">
      <c r="A23" s="183" t="s">
        <v>211</v>
      </c>
      <c r="B23" s="129" t="s">
        <v>155</v>
      </c>
      <c r="C23" s="184" t="s">
        <v>257</v>
      </c>
      <c r="D23" s="184" t="s">
        <v>258</v>
      </c>
      <c r="E23" s="183" t="s">
        <v>133</v>
      </c>
      <c r="F23" s="184" t="s">
        <v>223</v>
      </c>
    </row>
    <row r="24" spans="1:6" ht="30" customHeight="1" x14ac:dyDescent="0.35">
      <c r="A24" s="180" t="s">
        <v>213</v>
      </c>
      <c r="B24" s="125" t="s">
        <v>116</v>
      </c>
      <c r="C24" s="181" t="s">
        <v>259</v>
      </c>
      <c r="D24" s="181" t="s">
        <v>227</v>
      </c>
      <c r="E24" s="180" t="s">
        <v>133</v>
      </c>
      <c r="F24" s="181" t="s">
        <v>223</v>
      </c>
    </row>
    <row r="25" spans="1:6" ht="30" customHeight="1" x14ac:dyDescent="0.35">
      <c r="A25" s="183" t="s">
        <v>213</v>
      </c>
      <c r="B25" s="129" t="s">
        <v>157</v>
      </c>
      <c r="C25" s="184" t="s">
        <v>260</v>
      </c>
      <c r="D25" s="184" t="s">
        <v>227</v>
      </c>
      <c r="E25" s="183" t="s">
        <v>133</v>
      </c>
      <c r="F25" s="184" t="s">
        <v>223</v>
      </c>
    </row>
    <row r="26" spans="1:6" ht="30" customHeight="1" x14ac:dyDescent="0.35">
      <c r="A26" s="180" t="s">
        <v>213</v>
      </c>
      <c r="B26" s="125" t="s">
        <v>261</v>
      </c>
      <c r="C26" s="181" t="s">
        <v>262</v>
      </c>
      <c r="D26" s="181" t="s">
        <v>227</v>
      </c>
      <c r="E26" s="180" t="s">
        <v>133</v>
      </c>
      <c r="F26" s="181" t="s">
        <v>223</v>
      </c>
    </row>
    <row r="27" spans="1:6" ht="30" customHeight="1" x14ac:dyDescent="0.35">
      <c r="A27" s="183" t="s">
        <v>213</v>
      </c>
      <c r="B27" s="129" t="s">
        <v>159</v>
      </c>
      <c r="C27" s="184" t="s">
        <v>263</v>
      </c>
      <c r="D27" s="184" t="s">
        <v>227</v>
      </c>
      <c r="E27" s="183" t="s">
        <v>133</v>
      </c>
      <c r="F27" s="184" t="s">
        <v>223</v>
      </c>
    </row>
    <row r="28" spans="1:6" ht="30" customHeight="1" x14ac:dyDescent="0.35">
      <c r="A28" s="180" t="s">
        <v>213</v>
      </c>
      <c r="B28" s="125" t="s">
        <v>264</v>
      </c>
      <c r="C28" s="181" t="s">
        <v>265</v>
      </c>
      <c r="D28" s="181" t="s">
        <v>227</v>
      </c>
      <c r="E28" s="180" t="s">
        <v>133</v>
      </c>
      <c r="F28" s="181" t="s">
        <v>223</v>
      </c>
    </row>
    <row r="29" spans="1:6" ht="30" customHeight="1" x14ac:dyDescent="0.35">
      <c r="A29" s="183" t="s">
        <v>213</v>
      </c>
      <c r="B29" s="129" t="s">
        <v>161</v>
      </c>
      <c r="C29" s="184" t="s">
        <v>266</v>
      </c>
      <c r="D29" s="184" t="s">
        <v>267</v>
      </c>
      <c r="E29" s="183" t="s">
        <v>133</v>
      </c>
      <c r="F29" s="184" t="s">
        <v>223</v>
      </c>
    </row>
    <row r="30" spans="1:6" ht="30" customHeight="1" x14ac:dyDescent="0.35">
      <c r="A30" s="180" t="s">
        <v>213</v>
      </c>
      <c r="B30" s="125" t="s">
        <v>214</v>
      </c>
      <c r="C30" s="181" t="s">
        <v>268</v>
      </c>
      <c r="D30" s="181" t="s">
        <v>227</v>
      </c>
      <c r="E30" s="180" t="s">
        <v>133</v>
      </c>
      <c r="F30" s="181" t="s">
        <v>223</v>
      </c>
    </row>
    <row r="31" spans="1:6" ht="30" customHeight="1" x14ac:dyDescent="0.35">
      <c r="A31" s="183" t="s">
        <v>213</v>
      </c>
      <c r="B31" s="129" t="s">
        <v>215</v>
      </c>
      <c r="C31" s="184" t="s">
        <v>269</v>
      </c>
      <c r="D31" s="184" t="s">
        <v>227</v>
      </c>
      <c r="E31" s="183" t="s">
        <v>133</v>
      </c>
      <c r="F31" s="184" t="s">
        <v>223</v>
      </c>
    </row>
    <row r="32" spans="1:6" ht="30" customHeight="1" x14ac:dyDescent="0.35">
      <c r="A32" s="180" t="s">
        <v>213</v>
      </c>
      <c r="B32" s="125" t="s">
        <v>270</v>
      </c>
      <c r="C32" s="181" t="s">
        <v>271</v>
      </c>
      <c r="D32" s="181" t="s">
        <v>227</v>
      </c>
      <c r="E32" s="180" t="s">
        <v>133</v>
      </c>
      <c r="F32" s="181" t="s">
        <v>223</v>
      </c>
    </row>
    <row r="33" spans="1:6" ht="30" customHeight="1" x14ac:dyDescent="0.35">
      <c r="A33" s="183" t="s">
        <v>213</v>
      </c>
      <c r="B33" s="129" t="s">
        <v>216</v>
      </c>
      <c r="C33" s="184" t="s">
        <v>272</v>
      </c>
      <c r="D33" s="184" t="s">
        <v>227</v>
      </c>
      <c r="E33" s="183" t="s">
        <v>133</v>
      </c>
      <c r="F33" s="184" t="s">
        <v>223</v>
      </c>
    </row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3" r:id="rId3" name="Button 7">
              <controlPr defaultSize="0" print="0" autoFill="0" autoPict="0" macro="[0]!DECONNEXION">
                <anchor moveWithCells="1" sizeWithCells="1">
                  <from>
                    <xdr:col>0</xdr:col>
                    <xdr:colOff>0</xdr:colOff>
                    <xdr:row>34</xdr:row>
                    <xdr:rowOff>25400</xdr:rowOff>
                  </from>
                  <to>
                    <xdr:col>1</xdr:col>
                    <xdr:colOff>1022350</xdr:colOff>
                    <xdr:row>35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C1346-059D-40A2-A796-0CB2F9C97F42}">
  <sheetPr codeName="Feuil2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165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2" ht="18" customHeight="1" x14ac:dyDescent="0.35">
      <c r="A4" s="20" t="s">
        <v>1</v>
      </c>
      <c r="B4" s="17">
        <v>0</v>
      </c>
      <c r="C4" s="12">
        <v>63</v>
      </c>
      <c r="D4" s="12">
        <v>16</v>
      </c>
      <c r="E4" s="12">
        <v>16</v>
      </c>
      <c r="F4" s="12">
        <v>12</v>
      </c>
      <c r="G4" s="12">
        <v>277</v>
      </c>
      <c r="H4" s="12">
        <v>0</v>
      </c>
      <c r="I4" s="12">
        <v>0</v>
      </c>
      <c r="J4" s="12">
        <v>31</v>
      </c>
      <c r="K4" s="12">
        <v>4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283</v>
      </c>
      <c r="R4" s="12">
        <v>0</v>
      </c>
      <c r="S4" s="12">
        <v>0</v>
      </c>
      <c r="T4" s="12">
        <v>0</v>
      </c>
      <c r="U4" s="12">
        <v>0</v>
      </c>
    </row>
    <row r="5" spans="1:22" ht="18" customHeight="1" x14ac:dyDescent="0.35">
      <c r="A5" s="20" t="s">
        <v>2</v>
      </c>
      <c r="B5" s="17">
        <v>0</v>
      </c>
      <c r="C5" s="12">
        <v>63</v>
      </c>
      <c r="D5" s="12">
        <v>16</v>
      </c>
      <c r="E5" s="12">
        <v>16</v>
      </c>
      <c r="F5" s="12">
        <v>12</v>
      </c>
      <c r="G5" s="12">
        <v>277</v>
      </c>
      <c r="H5" s="12">
        <v>0</v>
      </c>
      <c r="I5" s="12">
        <v>0</v>
      </c>
      <c r="J5" s="12">
        <v>31</v>
      </c>
      <c r="K5" s="12">
        <v>4</v>
      </c>
      <c r="L5" s="12">
        <v>0</v>
      </c>
      <c r="M5" s="12">
        <v>4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</row>
    <row r="6" spans="1:22" ht="18" customHeight="1" x14ac:dyDescent="0.35">
      <c r="A6" s="20" t="s">
        <v>3</v>
      </c>
      <c r="B6" s="17">
        <v>0</v>
      </c>
      <c r="C6" s="12">
        <v>63</v>
      </c>
      <c r="D6" s="12">
        <v>17</v>
      </c>
      <c r="E6" s="12">
        <v>16</v>
      </c>
      <c r="F6" s="12">
        <v>12</v>
      </c>
      <c r="G6" s="12">
        <v>277</v>
      </c>
      <c r="H6" s="12">
        <v>0</v>
      </c>
      <c r="I6" s="12">
        <v>0</v>
      </c>
      <c r="J6" s="12">
        <v>31</v>
      </c>
      <c r="K6" s="12">
        <v>4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</row>
    <row r="7" spans="1:22" ht="18" customHeight="1" x14ac:dyDescent="0.35">
      <c r="A7" s="20" t="s">
        <v>4</v>
      </c>
      <c r="B7" s="17">
        <v>0</v>
      </c>
      <c r="C7" s="12">
        <v>63</v>
      </c>
      <c r="D7" s="12">
        <v>17</v>
      </c>
      <c r="E7" s="12">
        <v>16</v>
      </c>
      <c r="F7" s="12">
        <v>12</v>
      </c>
      <c r="G7" s="12">
        <v>276</v>
      </c>
      <c r="H7" s="12">
        <v>49</v>
      </c>
      <c r="I7" s="12">
        <v>53</v>
      </c>
      <c r="J7" s="12">
        <v>31</v>
      </c>
      <c r="K7" s="12">
        <v>4</v>
      </c>
      <c r="L7" s="12">
        <v>0</v>
      </c>
      <c r="M7" s="12">
        <v>1</v>
      </c>
      <c r="N7" s="12">
        <v>0</v>
      </c>
      <c r="O7" s="12">
        <v>1030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</row>
    <row r="8" spans="1:22" ht="18" customHeight="1" x14ac:dyDescent="0.35">
      <c r="A8" s="20" t="s">
        <v>5</v>
      </c>
      <c r="B8" s="17">
        <v>0</v>
      </c>
      <c r="C8" s="12">
        <v>63</v>
      </c>
      <c r="D8" s="12">
        <v>17</v>
      </c>
      <c r="E8" s="12">
        <v>16</v>
      </c>
      <c r="F8" s="12">
        <v>12</v>
      </c>
      <c r="G8" s="12">
        <v>276</v>
      </c>
      <c r="H8" s="12">
        <v>49</v>
      </c>
      <c r="I8" s="12">
        <v>53</v>
      </c>
      <c r="J8" s="12">
        <v>31</v>
      </c>
      <c r="K8" s="12">
        <v>4</v>
      </c>
      <c r="L8" s="12">
        <v>0</v>
      </c>
      <c r="M8" s="12">
        <v>0</v>
      </c>
      <c r="N8" s="12">
        <v>0</v>
      </c>
      <c r="O8" s="12">
        <v>1030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</row>
    <row r="9" spans="1:22" ht="18" customHeight="1" x14ac:dyDescent="0.35">
      <c r="A9" s="20" t="s">
        <v>6</v>
      </c>
      <c r="B9" s="17">
        <v>0</v>
      </c>
      <c r="C9" s="12">
        <v>63</v>
      </c>
      <c r="D9" s="12">
        <v>15</v>
      </c>
      <c r="E9" s="12">
        <v>16</v>
      </c>
      <c r="F9" s="12">
        <v>12</v>
      </c>
      <c r="G9" s="12">
        <v>276</v>
      </c>
      <c r="H9" s="12">
        <v>49</v>
      </c>
      <c r="I9" s="12">
        <v>53</v>
      </c>
      <c r="J9" s="12">
        <v>31</v>
      </c>
      <c r="K9" s="12">
        <v>4</v>
      </c>
      <c r="L9" s="12">
        <v>0</v>
      </c>
      <c r="M9" s="12">
        <v>1</v>
      </c>
      <c r="N9" s="12">
        <v>0</v>
      </c>
      <c r="O9" s="12">
        <v>1030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</row>
    <row r="10" spans="1:22" ht="18" customHeight="1" x14ac:dyDescent="0.35">
      <c r="A10" s="20" t="s">
        <v>7</v>
      </c>
      <c r="B10" s="17">
        <v>0</v>
      </c>
      <c r="C10" s="12">
        <v>65</v>
      </c>
      <c r="D10" s="12">
        <v>16</v>
      </c>
      <c r="E10" s="12">
        <v>16</v>
      </c>
      <c r="F10" s="12">
        <v>12</v>
      </c>
      <c r="G10" s="12">
        <v>276</v>
      </c>
      <c r="H10" s="12">
        <v>49</v>
      </c>
      <c r="I10" s="12">
        <v>53</v>
      </c>
      <c r="J10" s="12">
        <v>31</v>
      </c>
      <c r="K10" s="12">
        <v>4</v>
      </c>
      <c r="L10" s="12">
        <v>0</v>
      </c>
      <c r="M10" s="12">
        <v>0</v>
      </c>
      <c r="N10" s="12">
        <v>0</v>
      </c>
      <c r="O10" s="12">
        <v>1030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</row>
    <row r="11" spans="1:22" ht="18" customHeight="1" x14ac:dyDescent="0.35">
      <c r="A11" s="20" t="s">
        <v>8</v>
      </c>
      <c r="B11" s="17">
        <v>0</v>
      </c>
      <c r="C11" s="12">
        <v>65</v>
      </c>
      <c r="D11" s="12">
        <v>16</v>
      </c>
      <c r="E11" s="12">
        <v>16</v>
      </c>
      <c r="F11" s="12">
        <v>12</v>
      </c>
      <c r="G11" s="12">
        <v>276</v>
      </c>
      <c r="H11" s="12">
        <v>49</v>
      </c>
      <c r="I11" s="12">
        <v>53</v>
      </c>
      <c r="J11" s="12">
        <v>31</v>
      </c>
      <c r="K11" s="12">
        <v>4</v>
      </c>
      <c r="L11" s="12">
        <v>0</v>
      </c>
      <c r="M11" s="12">
        <v>2</v>
      </c>
      <c r="N11" s="12">
        <v>153</v>
      </c>
      <c r="O11" s="12">
        <v>1030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</row>
    <row r="12" spans="1:22" ht="18" customHeight="1" x14ac:dyDescent="0.35">
      <c r="A12" s="20" t="s">
        <v>9</v>
      </c>
      <c r="B12" s="17">
        <v>0</v>
      </c>
      <c r="C12" s="12">
        <v>65</v>
      </c>
      <c r="D12" s="12">
        <v>18</v>
      </c>
      <c r="E12" s="12">
        <v>16</v>
      </c>
      <c r="F12" s="12">
        <v>13</v>
      </c>
      <c r="G12" s="12">
        <v>276</v>
      </c>
      <c r="H12" s="12">
        <v>49</v>
      </c>
      <c r="I12" s="12">
        <v>53</v>
      </c>
      <c r="J12" s="12">
        <v>31</v>
      </c>
      <c r="K12" s="12">
        <v>4</v>
      </c>
      <c r="L12" s="12">
        <v>0</v>
      </c>
      <c r="M12" s="12">
        <v>1</v>
      </c>
      <c r="N12" s="12">
        <v>192</v>
      </c>
      <c r="O12" s="12">
        <v>1030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</row>
    <row r="13" spans="1:22" ht="18" customHeight="1" x14ac:dyDescent="0.35">
      <c r="A13" s="20" t="s">
        <v>10</v>
      </c>
      <c r="B13" s="17">
        <v>0</v>
      </c>
      <c r="C13" s="12">
        <v>66</v>
      </c>
      <c r="D13" s="12">
        <v>18</v>
      </c>
      <c r="E13" s="12">
        <v>16</v>
      </c>
      <c r="F13" s="12">
        <v>13</v>
      </c>
      <c r="G13" s="12">
        <v>275</v>
      </c>
      <c r="H13" s="12">
        <v>49</v>
      </c>
      <c r="I13" s="12">
        <v>53</v>
      </c>
      <c r="J13" s="12">
        <v>31</v>
      </c>
      <c r="K13" s="12">
        <v>4</v>
      </c>
      <c r="L13" s="12">
        <v>0</v>
      </c>
      <c r="M13" s="12">
        <v>1</v>
      </c>
      <c r="N13" s="12">
        <v>208</v>
      </c>
      <c r="O13" s="12">
        <v>1030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</row>
    <row r="14" spans="1:22" ht="18" customHeight="1" x14ac:dyDescent="0.35">
      <c r="A14" s="20" t="s">
        <v>11</v>
      </c>
      <c r="B14" s="17">
        <v>0</v>
      </c>
      <c r="C14" s="12">
        <v>66</v>
      </c>
      <c r="D14" s="12">
        <v>18</v>
      </c>
      <c r="E14" s="12">
        <v>16</v>
      </c>
      <c r="F14" s="12">
        <v>13</v>
      </c>
      <c r="G14" s="12">
        <v>275</v>
      </c>
      <c r="H14" s="12">
        <v>49</v>
      </c>
      <c r="I14" s="12">
        <v>53</v>
      </c>
      <c r="J14" s="12">
        <v>31</v>
      </c>
      <c r="K14" s="12">
        <v>4</v>
      </c>
      <c r="L14" s="12">
        <v>0</v>
      </c>
      <c r="M14" s="12">
        <v>1</v>
      </c>
      <c r="N14" s="12">
        <v>210</v>
      </c>
      <c r="O14" s="12">
        <v>1030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</row>
    <row r="15" spans="1:22" ht="18" customHeight="1" x14ac:dyDescent="0.35">
      <c r="A15" s="20" t="s">
        <v>12</v>
      </c>
      <c r="B15" s="17">
        <v>0</v>
      </c>
      <c r="C15" s="12">
        <v>66</v>
      </c>
      <c r="D15" s="12">
        <v>15</v>
      </c>
      <c r="E15" s="12">
        <v>16</v>
      </c>
      <c r="F15" s="12">
        <v>13</v>
      </c>
      <c r="G15" s="12">
        <v>275</v>
      </c>
      <c r="H15" s="12">
        <v>49</v>
      </c>
      <c r="I15" s="12">
        <v>53</v>
      </c>
      <c r="J15" s="12">
        <v>31</v>
      </c>
      <c r="K15" s="12">
        <v>4</v>
      </c>
      <c r="L15" s="12">
        <v>0</v>
      </c>
      <c r="M15" s="12">
        <v>0</v>
      </c>
      <c r="N15" s="12">
        <v>215</v>
      </c>
      <c r="O15" s="12">
        <v>1030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</row>
    <row r="16" spans="1:22" ht="18" customHeight="1" x14ac:dyDescent="0.35">
      <c r="A16" s="20" t="s">
        <v>13</v>
      </c>
      <c r="B16" s="17">
        <v>0</v>
      </c>
      <c r="C16" s="12">
        <v>66</v>
      </c>
      <c r="D16" s="12">
        <v>16</v>
      </c>
      <c r="E16" s="12">
        <v>16</v>
      </c>
      <c r="F16" s="12">
        <v>12</v>
      </c>
      <c r="G16" s="12">
        <v>275</v>
      </c>
      <c r="H16" s="12">
        <v>49</v>
      </c>
      <c r="I16" s="12">
        <v>53</v>
      </c>
      <c r="J16" s="12">
        <v>31</v>
      </c>
      <c r="K16" s="12">
        <v>4</v>
      </c>
      <c r="L16" s="12">
        <v>0</v>
      </c>
      <c r="M16" s="12">
        <v>11</v>
      </c>
      <c r="N16" s="12">
        <v>243</v>
      </c>
      <c r="O16" s="12">
        <v>1030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</row>
    <row r="17" spans="1:21" ht="18" customHeight="1" x14ac:dyDescent="0.35">
      <c r="A17" s="20" t="s">
        <v>14</v>
      </c>
      <c r="B17" s="17">
        <v>0</v>
      </c>
      <c r="C17" s="12">
        <v>66</v>
      </c>
      <c r="D17" s="12">
        <v>14</v>
      </c>
      <c r="E17" s="12">
        <v>16</v>
      </c>
      <c r="F17" s="12">
        <v>12</v>
      </c>
      <c r="G17" s="12">
        <v>275</v>
      </c>
      <c r="H17" s="12">
        <v>49</v>
      </c>
      <c r="I17" s="12">
        <v>53</v>
      </c>
      <c r="J17" s="12">
        <v>31</v>
      </c>
      <c r="K17" s="12">
        <v>4</v>
      </c>
      <c r="L17" s="12">
        <v>0</v>
      </c>
      <c r="M17" s="12">
        <v>11</v>
      </c>
      <c r="N17" s="12">
        <v>246</v>
      </c>
      <c r="O17" s="12">
        <v>1030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F60DA-3B1C-43D9-BC6F-BDFA4AD74638}">
  <sheetPr codeName="Feuil3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185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>
        <v>61</v>
      </c>
      <c r="C3" s="13">
        <v>73</v>
      </c>
      <c r="D3" s="13">
        <v>4</v>
      </c>
      <c r="E3" s="13">
        <v>9</v>
      </c>
      <c r="F3" s="13">
        <v>6</v>
      </c>
      <c r="G3" s="13">
        <v>311</v>
      </c>
      <c r="H3" s="13" t="s">
        <v>280</v>
      </c>
      <c r="I3" s="13" t="s">
        <v>280</v>
      </c>
      <c r="J3" s="13">
        <v>1</v>
      </c>
      <c r="K3" s="13">
        <v>0</v>
      </c>
      <c r="L3" s="13">
        <v>0</v>
      </c>
      <c r="M3" s="13">
        <v>0</v>
      </c>
      <c r="N3" s="13">
        <v>0</v>
      </c>
      <c r="O3" s="13" t="s">
        <v>281</v>
      </c>
      <c r="P3" s="13">
        <v>0</v>
      </c>
      <c r="Q3" s="13">
        <v>0</v>
      </c>
      <c r="R3" s="13">
        <v>49</v>
      </c>
      <c r="S3" s="13">
        <v>0</v>
      </c>
      <c r="T3" s="13">
        <v>0</v>
      </c>
      <c r="U3" s="13">
        <v>0</v>
      </c>
    </row>
    <row r="4" spans="1:22" ht="18" customHeight="1" x14ac:dyDescent="0.35">
      <c r="A4" s="20" t="s">
        <v>1</v>
      </c>
      <c r="B4" s="17">
        <v>61</v>
      </c>
      <c r="C4" s="12">
        <v>73</v>
      </c>
      <c r="D4" s="12">
        <v>4</v>
      </c>
      <c r="E4" s="12">
        <v>9</v>
      </c>
      <c r="F4" s="12">
        <v>6</v>
      </c>
      <c r="G4" s="12">
        <v>311</v>
      </c>
      <c r="H4" s="12" t="s">
        <v>280</v>
      </c>
      <c r="I4" s="12" t="s">
        <v>280</v>
      </c>
      <c r="J4" s="12">
        <v>1</v>
      </c>
      <c r="K4" s="12">
        <v>0</v>
      </c>
      <c r="L4" s="12">
        <v>0</v>
      </c>
      <c r="M4" s="12">
        <v>0</v>
      </c>
      <c r="N4" s="12">
        <v>3</v>
      </c>
      <c r="O4" s="12" t="s">
        <v>281</v>
      </c>
      <c r="P4" s="12">
        <v>0</v>
      </c>
      <c r="Q4" s="12">
        <v>0</v>
      </c>
      <c r="R4" s="12">
        <v>61</v>
      </c>
      <c r="S4" s="12">
        <v>0</v>
      </c>
      <c r="T4" s="12">
        <v>0</v>
      </c>
      <c r="U4" s="12">
        <v>0</v>
      </c>
    </row>
    <row r="5" spans="1:22" ht="18" customHeight="1" x14ac:dyDescent="0.35">
      <c r="A5" s="20" t="s">
        <v>2</v>
      </c>
      <c r="B5" s="17">
        <v>61</v>
      </c>
      <c r="C5" s="12">
        <v>73</v>
      </c>
      <c r="D5" s="12">
        <v>4</v>
      </c>
      <c r="E5" s="12">
        <v>9</v>
      </c>
      <c r="F5" s="12">
        <v>6</v>
      </c>
      <c r="G5" s="12">
        <v>311</v>
      </c>
      <c r="H5" s="12" t="s">
        <v>280</v>
      </c>
      <c r="I5" s="12" t="s">
        <v>280</v>
      </c>
      <c r="J5" s="12">
        <v>1</v>
      </c>
      <c r="K5" s="12">
        <v>0</v>
      </c>
      <c r="L5" s="12">
        <v>28</v>
      </c>
      <c r="M5" s="12">
        <v>0</v>
      </c>
      <c r="N5" s="12">
        <v>3</v>
      </c>
      <c r="O5" s="12">
        <v>28</v>
      </c>
      <c r="P5" s="12">
        <v>0</v>
      </c>
      <c r="Q5" s="12">
        <v>1</v>
      </c>
      <c r="R5" s="12">
        <v>57</v>
      </c>
      <c r="S5" s="12">
        <v>0</v>
      </c>
      <c r="T5" s="12">
        <v>0</v>
      </c>
      <c r="U5" s="12">
        <v>0</v>
      </c>
    </row>
    <row r="6" spans="1:22" ht="18" customHeight="1" x14ac:dyDescent="0.35">
      <c r="A6" s="20" t="s">
        <v>3</v>
      </c>
      <c r="B6" s="17">
        <v>61</v>
      </c>
      <c r="C6" s="12">
        <v>73</v>
      </c>
      <c r="D6" s="12">
        <v>4</v>
      </c>
      <c r="E6" s="12">
        <v>9</v>
      </c>
      <c r="F6" s="12">
        <v>6</v>
      </c>
      <c r="G6" s="12">
        <v>311</v>
      </c>
      <c r="H6" s="12" t="s">
        <v>280</v>
      </c>
      <c r="I6" s="12" t="s">
        <v>280</v>
      </c>
      <c r="J6" s="12">
        <v>1</v>
      </c>
      <c r="K6" s="12">
        <v>0</v>
      </c>
      <c r="L6" s="12">
        <v>1</v>
      </c>
      <c r="M6" s="12">
        <v>1</v>
      </c>
      <c r="N6" s="12">
        <v>0</v>
      </c>
      <c r="O6" s="12">
        <v>0</v>
      </c>
      <c r="P6" s="12">
        <v>0</v>
      </c>
      <c r="Q6" s="12">
        <v>0</v>
      </c>
      <c r="R6" s="12">
        <v>68</v>
      </c>
      <c r="S6" s="12">
        <v>0</v>
      </c>
      <c r="T6" s="12">
        <v>0</v>
      </c>
      <c r="U6" s="12">
        <v>0</v>
      </c>
    </row>
    <row r="7" spans="1:22" ht="18" customHeight="1" x14ac:dyDescent="0.35">
      <c r="A7" s="20" t="s">
        <v>4</v>
      </c>
      <c r="B7" s="17">
        <v>61</v>
      </c>
      <c r="C7" s="12">
        <v>73</v>
      </c>
      <c r="D7" s="12">
        <v>5</v>
      </c>
      <c r="E7" s="12">
        <v>7</v>
      </c>
      <c r="F7" s="12">
        <v>6</v>
      </c>
      <c r="G7" s="12">
        <v>314</v>
      </c>
      <c r="H7" s="12" t="s">
        <v>280</v>
      </c>
      <c r="I7" s="12" t="s">
        <v>280</v>
      </c>
      <c r="J7" s="12">
        <v>1</v>
      </c>
      <c r="K7" s="12">
        <v>0</v>
      </c>
      <c r="L7" s="12">
        <v>0</v>
      </c>
      <c r="M7" s="12">
        <v>0</v>
      </c>
      <c r="N7" s="12">
        <v>7</v>
      </c>
      <c r="O7" s="12">
        <v>0</v>
      </c>
      <c r="P7" s="12">
        <v>0</v>
      </c>
      <c r="Q7" s="12">
        <v>0</v>
      </c>
      <c r="R7" s="12">
        <v>55</v>
      </c>
      <c r="S7" s="12">
        <v>0</v>
      </c>
      <c r="T7" s="12">
        <v>0</v>
      </c>
      <c r="U7" s="12">
        <v>0</v>
      </c>
    </row>
    <row r="8" spans="1:22" ht="18" customHeight="1" x14ac:dyDescent="0.35">
      <c r="A8" s="20" t="s">
        <v>5</v>
      </c>
      <c r="B8" s="17">
        <v>61</v>
      </c>
      <c r="C8" s="12">
        <v>73</v>
      </c>
      <c r="D8" s="12">
        <v>5</v>
      </c>
      <c r="E8" s="12">
        <v>7</v>
      </c>
      <c r="F8" s="12">
        <v>6</v>
      </c>
      <c r="G8" s="12">
        <v>312</v>
      </c>
      <c r="H8" s="12" t="s">
        <v>280</v>
      </c>
      <c r="I8" s="12" t="s">
        <v>280</v>
      </c>
      <c r="J8" s="12">
        <v>1</v>
      </c>
      <c r="K8" s="12">
        <v>0</v>
      </c>
      <c r="L8" s="12">
        <v>6</v>
      </c>
      <c r="M8" s="12">
        <v>0</v>
      </c>
      <c r="N8" s="12">
        <v>45</v>
      </c>
      <c r="O8" s="12">
        <v>6</v>
      </c>
      <c r="P8" s="12">
        <v>0</v>
      </c>
      <c r="Q8" s="12">
        <v>0</v>
      </c>
      <c r="R8" s="12">
        <v>43</v>
      </c>
      <c r="S8" s="12">
        <v>0</v>
      </c>
      <c r="T8" s="12">
        <v>0</v>
      </c>
      <c r="U8" s="12">
        <v>0</v>
      </c>
    </row>
    <row r="9" spans="1:22" ht="18" customHeight="1" x14ac:dyDescent="0.35">
      <c r="A9" s="20" t="s">
        <v>6</v>
      </c>
      <c r="B9" s="17">
        <v>61</v>
      </c>
      <c r="C9" s="12">
        <v>73</v>
      </c>
      <c r="D9" s="12">
        <v>5</v>
      </c>
      <c r="E9" s="12">
        <v>7</v>
      </c>
      <c r="F9" s="12">
        <v>6</v>
      </c>
      <c r="G9" s="12">
        <v>312</v>
      </c>
      <c r="H9" s="12" t="s">
        <v>280</v>
      </c>
      <c r="I9" s="12" t="s">
        <v>280</v>
      </c>
      <c r="J9" s="12">
        <v>1</v>
      </c>
      <c r="K9" s="12">
        <v>0</v>
      </c>
      <c r="L9" s="12">
        <v>6</v>
      </c>
      <c r="M9" s="12">
        <v>0</v>
      </c>
      <c r="N9" s="12">
        <v>38</v>
      </c>
      <c r="O9" s="12">
        <v>6</v>
      </c>
      <c r="P9" s="12">
        <v>0</v>
      </c>
      <c r="Q9" s="12">
        <v>0</v>
      </c>
      <c r="R9" s="12">
        <v>42</v>
      </c>
      <c r="S9" s="12">
        <v>0</v>
      </c>
      <c r="T9" s="12">
        <v>0</v>
      </c>
      <c r="U9" s="12">
        <v>0</v>
      </c>
    </row>
    <row r="10" spans="1:22" ht="18" customHeight="1" x14ac:dyDescent="0.35">
      <c r="A10" s="20" t="s">
        <v>7</v>
      </c>
      <c r="B10" s="17">
        <v>61</v>
      </c>
      <c r="C10" s="12">
        <v>73</v>
      </c>
      <c r="D10" s="12">
        <v>5</v>
      </c>
      <c r="E10" s="12">
        <v>7</v>
      </c>
      <c r="F10" s="12">
        <v>6</v>
      </c>
      <c r="G10" s="12">
        <v>312</v>
      </c>
      <c r="H10" s="12" t="s">
        <v>280</v>
      </c>
      <c r="I10" s="12" t="s">
        <v>280</v>
      </c>
      <c r="J10" s="12">
        <v>1</v>
      </c>
      <c r="K10" s="12">
        <v>0</v>
      </c>
      <c r="L10" s="12">
        <v>0</v>
      </c>
      <c r="M10" s="12">
        <v>0</v>
      </c>
      <c r="N10" s="12">
        <v>58</v>
      </c>
      <c r="O10" s="12">
        <v>0</v>
      </c>
      <c r="P10" s="12">
        <v>0</v>
      </c>
      <c r="Q10" s="12">
        <v>0</v>
      </c>
      <c r="R10" s="12">
        <v>38</v>
      </c>
      <c r="S10" s="12">
        <v>0</v>
      </c>
      <c r="T10" s="12">
        <v>0</v>
      </c>
      <c r="U10" s="12">
        <v>0</v>
      </c>
    </row>
    <row r="11" spans="1:22" ht="18" customHeight="1" x14ac:dyDescent="0.35">
      <c r="A11" s="20" t="s">
        <v>8</v>
      </c>
      <c r="B11" s="17">
        <v>61</v>
      </c>
      <c r="C11" s="12">
        <v>73</v>
      </c>
      <c r="D11" s="12">
        <v>6</v>
      </c>
      <c r="E11" s="12">
        <v>7</v>
      </c>
      <c r="F11" s="12">
        <v>6</v>
      </c>
      <c r="G11" s="12">
        <v>312</v>
      </c>
      <c r="H11" s="12">
        <v>73</v>
      </c>
      <c r="I11" s="12">
        <v>294</v>
      </c>
      <c r="J11" s="12">
        <v>1</v>
      </c>
      <c r="K11" s="12">
        <v>0</v>
      </c>
      <c r="L11" s="12">
        <v>8</v>
      </c>
      <c r="M11" s="12">
        <v>0</v>
      </c>
      <c r="N11" s="12">
        <v>16</v>
      </c>
      <c r="O11" s="12">
        <v>8</v>
      </c>
      <c r="P11" s="12">
        <v>0</v>
      </c>
      <c r="Q11" s="12">
        <v>0</v>
      </c>
      <c r="R11" s="12">
        <v>57</v>
      </c>
      <c r="S11" s="12">
        <v>0</v>
      </c>
      <c r="T11" s="12">
        <v>0</v>
      </c>
      <c r="U11" s="12">
        <v>0</v>
      </c>
    </row>
    <row r="12" spans="1:22" ht="18" customHeight="1" x14ac:dyDescent="0.35">
      <c r="A12" s="20" t="s">
        <v>9</v>
      </c>
      <c r="B12" s="17">
        <v>61</v>
      </c>
      <c r="C12" s="12">
        <v>73</v>
      </c>
      <c r="D12" s="12">
        <v>6</v>
      </c>
      <c r="E12" s="12">
        <v>7</v>
      </c>
      <c r="F12" s="12">
        <v>6</v>
      </c>
      <c r="G12" s="12">
        <v>312</v>
      </c>
      <c r="H12" s="12">
        <v>117</v>
      </c>
      <c r="I12" s="12">
        <v>294</v>
      </c>
      <c r="J12" s="12">
        <v>1</v>
      </c>
      <c r="K12" s="12">
        <v>0</v>
      </c>
      <c r="L12" s="12">
        <v>0</v>
      </c>
      <c r="M12" s="12">
        <v>0</v>
      </c>
      <c r="N12" s="12">
        <v>42</v>
      </c>
      <c r="O12" s="12">
        <v>0</v>
      </c>
      <c r="P12" s="12">
        <v>0</v>
      </c>
      <c r="Q12" s="12">
        <v>0</v>
      </c>
      <c r="R12" s="12">
        <v>34</v>
      </c>
      <c r="S12" s="12">
        <v>0</v>
      </c>
      <c r="T12" s="12">
        <v>0</v>
      </c>
      <c r="U12" s="12">
        <v>0</v>
      </c>
    </row>
    <row r="13" spans="1:22" ht="18" customHeight="1" x14ac:dyDescent="0.35">
      <c r="A13" s="20" t="s">
        <v>10</v>
      </c>
      <c r="B13" s="17">
        <v>61</v>
      </c>
      <c r="C13" s="12">
        <v>73</v>
      </c>
      <c r="D13" s="12">
        <v>6</v>
      </c>
      <c r="E13" s="12">
        <v>7</v>
      </c>
      <c r="F13" s="12">
        <v>6</v>
      </c>
      <c r="G13" s="12">
        <v>312</v>
      </c>
      <c r="H13" s="12">
        <v>146</v>
      </c>
      <c r="I13" s="12">
        <v>294</v>
      </c>
      <c r="J13" s="12">
        <v>1</v>
      </c>
      <c r="K13" s="12">
        <v>0</v>
      </c>
      <c r="L13" s="12">
        <v>1</v>
      </c>
      <c r="M13" s="12">
        <v>1</v>
      </c>
      <c r="N13" s="12">
        <v>65</v>
      </c>
      <c r="O13" s="12">
        <v>0</v>
      </c>
      <c r="P13" s="12">
        <v>0</v>
      </c>
      <c r="Q13" s="12">
        <v>0</v>
      </c>
      <c r="R13" s="12">
        <v>32</v>
      </c>
      <c r="S13" s="12">
        <v>0</v>
      </c>
      <c r="T13" s="12">
        <v>0</v>
      </c>
      <c r="U13" s="12">
        <v>0</v>
      </c>
    </row>
    <row r="14" spans="1:22" ht="18" customHeight="1" x14ac:dyDescent="0.35">
      <c r="A14" s="20" t="s">
        <v>11</v>
      </c>
      <c r="B14" s="17">
        <v>61</v>
      </c>
      <c r="C14" s="12">
        <v>73</v>
      </c>
      <c r="D14" s="12">
        <v>6</v>
      </c>
      <c r="E14" s="12">
        <v>7</v>
      </c>
      <c r="F14" s="12">
        <v>6</v>
      </c>
      <c r="G14" s="12">
        <v>312</v>
      </c>
      <c r="H14" s="12">
        <v>183</v>
      </c>
      <c r="I14" s="12">
        <v>294</v>
      </c>
      <c r="J14" s="12">
        <v>1</v>
      </c>
      <c r="K14" s="12">
        <v>0</v>
      </c>
      <c r="L14" s="12">
        <v>7</v>
      </c>
      <c r="M14" s="12">
        <v>1</v>
      </c>
      <c r="N14" s="12">
        <v>86</v>
      </c>
      <c r="O14" s="12">
        <v>6</v>
      </c>
      <c r="P14" s="12">
        <v>0</v>
      </c>
      <c r="Q14" s="12">
        <v>0</v>
      </c>
      <c r="R14" s="12">
        <v>51</v>
      </c>
      <c r="S14" s="12">
        <v>0</v>
      </c>
      <c r="T14" s="12">
        <v>0</v>
      </c>
      <c r="U14" s="12">
        <v>0</v>
      </c>
    </row>
    <row r="15" spans="1:22" ht="18" customHeight="1" x14ac:dyDescent="0.35">
      <c r="A15" s="20" t="s">
        <v>12</v>
      </c>
      <c r="B15" s="17">
        <v>61</v>
      </c>
      <c r="C15" s="12">
        <v>73</v>
      </c>
      <c r="D15" s="12">
        <v>6</v>
      </c>
      <c r="E15" s="12">
        <v>7</v>
      </c>
      <c r="F15" s="12">
        <v>6</v>
      </c>
      <c r="G15" s="12">
        <v>311</v>
      </c>
      <c r="H15" s="12">
        <v>205</v>
      </c>
      <c r="I15" s="12">
        <v>294</v>
      </c>
      <c r="J15" s="12">
        <v>1</v>
      </c>
      <c r="K15" s="12">
        <v>0</v>
      </c>
      <c r="L15" s="12">
        <v>2</v>
      </c>
      <c r="M15" s="12">
        <v>0</v>
      </c>
      <c r="N15" s="12">
        <v>98</v>
      </c>
      <c r="O15" s="12">
        <v>2</v>
      </c>
      <c r="P15" s="12">
        <v>0</v>
      </c>
      <c r="Q15" s="12">
        <v>0</v>
      </c>
      <c r="R15" s="12">
        <v>49</v>
      </c>
      <c r="S15" s="12">
        <v>0</v>
      </c>
      <c r="T15" s="12">
        <v>0</v>
      </c>
      <c r="U15" s="12">
        <v>0</v>
      </c>
    </row>
    <row r="16" spans="1:22" ht="18" customHeight="1" x14ac:dyDescent="0.35">
      <c r="A16" s="20" t="s">
        <v>13</v>
      </c>
      <c r="B16" s="17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" customHeight="1" x14ac:dyDescent="0.35">
      <c r="A17" s="20" t="s">
        <v>14</v>
      </c>
      <c r="B17" s="17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F34B1-A64F-4330-927F-99E707AA60DF}">
  <sheetPr codeName="Feuil4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186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>
        <v>31</v>
      </c>
      <c r="C3" s="13">
        <v>63</v>
      </c>
      <c r="D3" s="13">
        <v>4</v>
      </c>
      <c r="E3" s="13">
        <v>8</v>
      </c>
      <c r="F3" s="13">
        <v>4</v>
      </c>
      <c r="G3" s="13">
        <v>308</v>
      </c>
      <c r="H3" s="13">
        <v>294</v>
      </c>
      <c r="I3" s="13">
        <v>300</v>
      </c>
      <c r="J3" s="13">
        <v>18</v>
      </c>
      <c r="K3" s="13">
        <v>11</v>
      </c>
      <c r="L3" s="13">
        <v>0</v>
      </c>
      <c r="M3" s="13">
        <v>1</v>
      </c>
      <c r="N3" s="13">
        <v>6</v>
      </c>
      <c r="O3" s="13" t="s">
        <v>282</v>
      </c>
      <c r="P3" s="13">
        <v>0</v>
      </c>
      <c r="Q3" s="13">
        <v>178</v>
      </c>
      <c r="R3" s="13">
        <v>11</v>
      </c>
      <c r="S3" s="13">
        <v>11</v>
      </c>
      <c r="T3" s="13">
        <v>0</v>
      </c>
      <c r="U3" s="13">
        <v>0</v>
      </c>
    </row>
    <row r="4" spans="1:22" ht="18" customHeight="1" x14ac:dyDescent="0.35">
      <c r="A4" s="20" t="s">
        <v>1</v>
      </c>
      <c r="B4" s="17">
        <v>34</v>
      </c>
      <c r="C4" s="12">
        <v>63</v>
      </c>
      <c r="D4" s="12">
        <v>4</v>
      </c>
      <c r="E4" s="12">
        <v>8</v>
      </c>
      <c r="F4" s="12">
        <v>4</v>
      </c>
      <c r="G4" s="12">
        <v>308</v>
      </c>
      <c r="H4" s="12">
        <v>294</v>
      </c>
      <c r="I4" s="12">
        <v>300</v>
      </c>
      <c r="J4" s="12">
        <v>18</v>
      </c>
      <c r="K4" s="12">
        <v>11</v>
      </c>
      <c r="L4" s="12">
        <v>0</v>
      </c>
      <c r="M4" s="12">
        <v>0</v>
      </c>
      <c r="N4" s="12">
        <v>4</v>
      </c>
      <c r="O4" s="12" t="s">
        <v>282</v>
      </c>
      <c r="P4" s="12">
        <v>0</v>
      </c>
      <c r="Q4" s="12">
        <v>178</v>
      </c>
      <c r="R4" s="12">
        <v>4</v>
      </c>
      <c r="S4" s="12">
        <v>4</v>
      </c>
      <c r="T4" s="12">
        <v>0</v>
      </c>
      <c r="U4" s="12">
        <v>0</v>
      </c>
    </row>
    <row r="5" spans="1:22" ht="18" customHeight="1" x14ac:dyDescent="0.35">
      <c r="A5" s="20" t="s">
        <v>2</v>
      </c>
      <c r="B5" s="17">
        <v>34</v>
      </c>
      <c r="C5" s="12">
        <v>63</v>
      </c>
      <c r="D5" s="12">
        <v>3</v>
      </c>
      <c r="E5" s="12">
        <v>8</v>
      </c>
      <c r="F5" s="12">
        <v>4</v>
      </c>
      <c r="G5" s="12">
        <v>308</v>
      </c>
      <c r="H5" s="12">
        <v>294</v>
      </c>
      <c r="I5" s="12">
        <v>300</v>
      </c>
      <c r="J5" s="12">
        <v>18</v>
      </c>
      <c r="K5" s="12">
        <v>11</v>
      </c>
      <c r="L5" s="12">
        <v>0</v>
      </c>
      <c r="M5" s="12">
        <v>0</v>
      </c>
      <c r="N5" s="12">
        <v>3</v>
      </c>
      <c r="O5" s="12" t="s">
        <v>282</v>
      </c>
      <c r="P5" s="12">
        <v>0</v>
      </c>
      <c r="Q5" s="12">
        <v>178</v>
      </c>
      <c r="R5" s="12">
        <v>6</v>
      </c>
      <c r="S5" s="12">
        <v>6</v>
      </c>
      <c r="T5" s="12">
        <v>0</v>
      </c>
      <c r="U5" s="12">
        <v>0</v>
      </c>
    </row>
    <row r="6" spans="1:22" ht="18" customHeight="1" x14ac:dyDescent="0.35">
      <c r="A6" s="20" t="s">
        <v>3</v>
      </c>
      <c r="B6" s="17">
        <v>35</v>
      </c>
      <c r="C6" s="12">
        <v>63</v>
      </c>
      <c r="D6" s="12">
        <v>3</v>
      </c>
      <c r="E6" s="12">
        <v>8</v>
      </c>
      <c r="F6" s="12">
        <v>4</v>
      </c>
      <c r="G6" s="12">
        <v>308</v>
      </c>
      <c r="H6" s="12">
        <v>294</v>
      </c>
      <c r="I6" s="12">
        <v>300</v>
      </c>
      <c r="J6" s="12">
        <v>18</v>
      </c>
      <c r="K6" s="12">
        <v>11</v>
      </c>
      <c r="L6" s="12">
        <v>0</v>
      </c>
      <c r="M6" s="12">
        <v>0</v>
      </c>
      <c r="N6" s="12">
        <v>2</v>
      </c>
      <c r="O6" s="12" t="s">
        <v>282</v>
      </c>
      <c r="P6" s="12">
        <v>0</v>
      </c>
      <c r="Q6" s="12">
        <v>178</v>
      </c>
      <c r="R6" s="12">
        <v>9</v>
      </c>
      <c r="S6" s="12">
        <v>9</v>
      </c>
      <c r="T6" s="12">
        <v>0</v>
      </c>
      <c r="U6" s="12">
        <v>0</v>
      </c>
    </row>
    <row r="7" spans="1:22" ht="18" customHeight="1" x14ac:dyDescent="0.35">
      <c r="A7" s="20" t="s">
        <v>4</v>
      </c>
      <c r="B7" s="17">
        <v>35</v>
      </c>
      <c r="C7" s="12">
        <v>63</v>
      </c>
      <c r="D7" s="12">
        <v>4</v>
      </c>
      <c r="E7" s="12">
        <v>8</v>
      </c>
      <c r="F7" s="12">
        <v>4</v>
      </c>
      <c r="G7" s="12">
        <v>308</v>
      </c>
      <c r="H7" s="12">
        <v>294</v>
      </c>
      <c r="I7" s="12">
        <v>300</v>
      </c>
      <c r="J7" s="12">
        <v>18</v>
      </c>
      <c r="K7" s="12">
        <v>11</v>
      </c>
      <c r="L7" s="12">
        <v>0</v>
      </c>
      <c r="M7" s="12">
        <v>0</v>
      </c>
      <c r="N7" s="12">
        <v>0</v>
      </c>
      <c r="O7" s="12" t="s">
        <v>282</v>
      </c>
      <c r="P7" s="12">
        <v>0</v>
      </c>
      <c r="Q7" s="12">
        <v>178</v>
      </c>
      <c r="R7" s="12">
        <v>10</v>
      </c>
      <c r="S7" s="12">
        <v>10</v>
      </c>
      <c r="T7" s="12">
        <v>0</v>
      </c>
      <c r="U7" s="12">
        <v>0</v>
      </c>
    </row>
    <row r="8" spans="1:22" ht="18" customHeight="1" x14ac:dyDescent="0.35">
      <c r="A8" s="20" t="s">
        <v>5</v>
      </c>
      <c r="B8" s="17">
        <v>35</v>
      </c>
      <c r="C8" s="12">
        <v>63</v>
      </c>
      <c r="D8" s="12">
        <v>3</v>
      </c>
      <c r="E8" s="12">
        <v>8</v>
      </c>
      <c r="F8" s="12">
        <v>4</v>
      </c>
      <c r="G8" s="12">
        <v>308</v>
      </c>
      <c r="H8" s="12">
        <v>294</v>
      </c>
      <c r="I8" s="12">
        <v>300</v>
      </c>
      <c r="J8" s="12">
        <v>18</v>
      </c>
      <c r="K8" s="12">
        <v>11</v>
      </c>
      <c r="L8" s="12">
        <v>0</v>
      </c>
      <c r="M8" s="12">
        <v>0</v>
      </c>
      <c r="N8" s="12">
        <v>0</v>
      </c>
      <c r="O8" s="12" t="s">
        <v>282</v>
      </c>
      <c r="P8" s="12">
        <v>0</v>
      </c>
      <c r="Q8" s="12">
        <v>178</v>
      </c>
      <c r="R8" s="12">
        <v>5</v>
      </c>
      <c r="S8" s="12">
        <v>5</v>
      </c>
      <c r="T8" s="12">
        <v>0</v>
      </c>
      <c r="U8" s="12">
        <v>0</v>
      </c>
    </row>
    <row r="9" spans="1:22" ht="18" customHeight="1" x14ac:dyDescent="0.35">
      <c r="A9" s="20" t="s">
        <v>6</v>
      </c>
      <c r="B9" s="17">
        <v>35</v>
      </c>
      <c r="C9" s="12">
        <v>63</v>
      </c>
      <c r="D9" s="12">
        <v>3</v>
      </c>
      <c r="E9" s="12">
        <v>8</v>
      </c>
      <c r="F9" s="12">
        <v>4</v>
      </c>
      <c r="G9" s="12">
        <v>308</v>
      </c>
      <c r="H9" s="12">
        <v>297</v>
      </c>
      <c r="I9" s="12">
        <v>300</v>
      </c>
      <c r="J9" s="12">
        <v>24</v>
      </c>
      <c r="K9" s="12">
        <v>15</v>
      </c>
      <c r="L9" s="12">
        <v>0</v>
      </c>
      <c r="M9" s="12">
        <v>0</v>
      </c>
      <c r="N9" s="12">
        <v>0</v>
      </c>
      <c r="O9" s="12" t="s">
        <v>282</v>
      </c>
      <c r="P9" s="12">
        <v>0</v>
      </c>
      <c r="Q9" s="12">
        <v>162</v>
      </c>
      <c r="R9" s="12">
        <v>6</v>
      </c>
      <c r="S9" s="12">
        <v>6</v>
      </c>
      <c r="T9" s="12">
        <v>0</v>
      </c>
      <c r="U9" s="12">
        <v>0</v>
      </c>
    </row>
    <row r="10" spans="1:22" ht="18" customHeight="1" x14ac:dyDescent="0.35">
      <c r="A10" s="20" t="s">
        <v>7</v>
      </c>
      <c r="B10" s="17">
        <v>35</v>
      </c>
      <c r="C10" s="12">
        <v>63</v>
      </c>
      <c r="D10" s="12">
        <v>4</v>
      </c>
      <c r="E10" s="12">
        <v>8</v>
      </c>
      <c r="F10" s="12">
        <v>4</v>
      </c>
      <c r="G10" s="12">
        <v>308</v>
      </c>
      <c r="H10" s="12">
        <v>297</v>
      </c>
      <c r="I10" s="12">
        <v>300</v>
      </c>
      <c r="J10" s="12">
        <v>24</v>
      </c>
      <c r="K10" s="12">
        <v>15</v>
      </c>
      <c r="L10" s="12">
        <v>0</v>
      </c>
      <c r="M10" s="12">
        <v>1</v>
      </c>
      <c r="N10" s="12">
        <v>0</v>
      </c>
      <c r="O10" s="12" t="s">
        <v>282</v>
      </c>
      <c r="P10" s="12">
        <v>0</v>
      </c>
      <c r="Q10" s="12">
        <v>162</v>
      </c>
      <c r="R10" s="12">
        <v>5</v>
      </c>
      <c r="S10" s="12">
        <v>5</v>
      </c>
      <c r="T10" s="12">
        <v>0</v>
      </c>
      <c r="U10" s="12">
        <v>0</v>
      </c>
    </row>
    <row r="11" spans="1:22" ht="18" customHeight="1" x14ac:dyDescent="0.35">
      <c r="A11" s="20" t="s">
        <v>8</v>
      </c>
      <c r="B11" s="17">
        <v>35</v>
      </c>
      <c r="C11" s="12">
        <v>63</v>
      </c>
      <c r="D11" s="12">
        <v>4</v>
      </c>
      <c r="E11" s="12">
        <v>8</v>
      </c>
      <c r="F11" s="12">
        <v>4</v>
      </c>
      <c r="G11" s="12">
        <v>308</v>
      </c>
      <c r="H11" s="12">
        <v>299</v>
      </c>
      <c r="I11" s="12">
        <v>300</v>
      </c>
      <c r="J11" s="12">
        <v>24</v>
      </c>
      <c r="K11" s="12">
        <v>15</v>
      </c>
      <c r="L11" s="12">
        <v>0</v>
      </c>
      <c r="M11" s="12">
        <v>0</v>
      </c>
      <c r="N11" s="12">
        <v>0</v>
      </c>
      <c r="O11" s="12" t="s">
        <v>282</v>
      </c>
      <c r="P11" s="12">
        <v>0</v>
      </c>
      <c r="Q11" s="12">
        <v>162</v>
      </c>
      <c r="R11" s="12">
        <v>5</v>
      </c>
      <c r="S11" s="12">
        <v>5</v>
      </c>
      <c r="T11" s="12">
        <v>0</v>
      </c>
      <c r="U11" s="12">
        <v>0</v>
      </c>
    </row>
    <row r="12" spans="1:22" ht="18" customHeight="1" x14ac:dyDescent="0.35">
      <c r="A12" s="20" t="s">
        <v>9</v>
      </c>
      <c r="B12" s="17">
        <v>35</v>
      </c>
      <c r="C12" s="12">
        <v>63</v>
      </c>
      <c r="D12" s="12">
        <v>4</v>
      </c>
      <c r="E12" s="12">
        <v>8</v>
      </c>
      <c r="F12" s="12">
        <v>4</v>
      </c>
      <c r="G12" s="12">
        <v>308</v>
      </c>
      <c r="H12" s="12">
        <v>299</v>
      </c>
      <c r="I12" s="12">
        <v>300</v>
      </c>
      <c r="J12" s="12">
        <v>24</v>
      </c>
      <c r="K12" s="12">
        <v>15</v>
      </c>
      <c r="L12" s="12">
        <v>0</v>
      </c>
      <c r="M12" s="12">
        <v>0</v>
      </c>
      <c r="N12" s="12">
        <v>0</v>
      </c>
      <c r="O12" s="12" t="s">
        <v>282</v>
      </c>
      <c r="P12" s="12">
        <v>0</v>
      </c>
      <c r="Q12" s="12">
        <v>162</v>
      </c>
      <c r="R12" s="12">
        <v>6</v>
      </c>
      <c r="S12" s="12">
        <v>6</v>
      </c>
      <c r="T12" s="12">
        <v>0</v>
      </c>
      <c r="U12" s="12">
        <v>0</v>
      </c>
    </row>
    <row r="13" spans="1:22" ht="18" customHeight="1" x14ac:dyDescent="0.35">
      <c r="A13" s="20" t="s">
        <v>10</v>
      </c>
      <c r="B13" s="17">
        <v>55</v>
      </c>
      <c r="C13" s="12">
        <v>63</v>
      </c>
      <c r="D13" s="12">
        <v>3</v>
      </c>
      <c r="E13" s="12">
        <v>8</v>
      </c>
      <c r="F13" s="12">
        <v>4</v>
      </c>
      <c r="G13" s="12">
        <v>308</v>
      </c>
      <c r="H13" s="12">
        <v>300</v>
      </c>
      <c r="I13" s="12">
        <v>300</v>
      </c>
      <c r="J13" s="12">
        <v>22</v>
      </c>
      <c r="K13" s="12">
        <v>14</v>
      </c>
      <c r="L13" s="12">
        <v>0</v>
      </c>
      <c r="M13" s="12">
        <v>0</v>
      </c>
      <c r="N13" s="12">
        <v>0</v>
      </c>
      <c r="O13" s="12" t="s">
        <v>282</v>
      </c>
      <c r="P13" s="12">
        <v>0</v>
      </c>
      <c r="Q13" s="12">
        <v>162</v>
      </c>
      <c r="R13" s="12">
        <v>4</v>
      </c>
      <c r="S13" s="12">
        <v>4</v>
      </c>
      <c r="T13" s="12">
        <v>0</v>
      </c>
      <c r="U13" s="12">
        <v>0</v>
      </c>
    </row>
    <row r="14" spans="1:22" ht="18" customHeight="1" x14ac:dyDescent="0.35">
      <c r="A14" s="20" t="s">
        <v>11</v>
      </c>
      <c r="B14" s="17">
        <v>60</v>
      </c>
      <c r="C14" s="12">
        <v>63</v>
      </c>
      <c r="D14" s="12">
        <v>3</v>
      </c>
      <c r="E14" s="12">
        <v>8</v>
      </c>
      <c r="F14" s="12">
        <v>4</v>
      </c>
      <c r="G14" s="12">
        <v>308</v>
      </c>
      <c r="H14" s="12">
        <v>82</v>
      </c>
      <c r="I14" s="12">
        <v>82</v>
      </c>
      <c r="J14" s="12">
        <v>22</v>
      </c>
      <c r="K14" s="12">
        <v>14</v>
      </c>
      <c r="L14" s="12">
        <v>0</v>
      </c>
      <c r="M14" s="12">
        <v>0</v>
      </c>
      <c r="N14" s="12">
        <v>0</v>
      </c>
      <c r="O14" s="12" t="s">
        <v>282</v>
      </c>
      <c r="P14" s="12">
        <v>0</v>
      </c>
      <c r="Q14" s="12">
        <v>162</v>
      </c>
      <c r="R14" s="12">
        <v>5</v>
      </c>
      <c r="S14" s="12">
        <v>5</v>
      </c>
      <c r="T14" s="12">
        <v>0</v>
      </c>
      <c r="U14" s="12">
        <v>0</v>
      </c>
    </row>
    <row r="15" spans="1:22" ht="18" customHeight="1" x14ac:dyDescent="0.35">
      <c r="A15" s="20" t="s">
        <v>12</v>
      </c>
      <c r="B15" s="17">
        <v>60</v>
      </c>
      <c r="C15" s="12">
        <v>63</v>
      </c>
      <c r="D15" s="12">
        <v>4</v>
      </c>
      <c r="E15" s="12">
        <v>8</v>
      </c>
      <c r="F15" s="12">
        <v>4</v>
      </c>
      <c r="G15" s="12">
        <v>308</v>
      </c>
      <c r="H15" s="12">
        <v>82</v>
      </c>
      <c r="I15" s="12">
        <v>82</v>
      </c>
      <c r="J15" s="12">
        <v>20</v>
      </c>
      <c r="K15" s="12">
        <v>14</v>
      </c>
      <c r="L15" s="12">
        <v>0</v>
      </c>
      <c r="M15" s="12">
        <v>0</v>
      </c>
      <c r="N15" s="12">
        <v>0</v>
      </c>
      <c r="O15" s="12" t="s">
        <v>282</v>
      </c>
      <c r="P15" s="12">
        <v>0</v>
      </c>
      <c r="Q15" s="12">
        <v>162</v>
      </c>
      <c r="R15" s="12">
        <v>8</v>
      </c>
      <c r="S15" s="12">
        <v>8</v>
      </c>
      <c r="T15" s="12">
        <v>0</v>
      </c>
      <c r="U15" s="12">
        <v>0</v>
      </c>
    </row>
    <row r="16" spans="1:22" ht="18" customHeight="1" x14ac:dyDescent="0.35">
      <c r="A16" s="20" t="s">
        <v>13</v>
      </c>
      <c r="B16" s="17">
        <v>65</v>
      </c>
      <c r="C16" s="12">
        <v>65</v>
      </c>
      <c r="D16" s="12">
        <v>4</v>
      </c>
      <c r="E16" s="12">
        <v>8</v>
      </c>
      <c r="F16" s="12">
        <v>4</v>
      </c>
      <c r="G16" s="12">
        <v>308</v>
      </c>
      <c r="H16" s="12">
        <v>103</v>
      </c>
      <c r="I16" s="12">
        <v>293</v>
      </c>
      <c r="J16" s="12">
        <v>20</v>
      </c>
      <c r="K16" s="12">
        <v>14</v>
      </c>
      <c r="L16" s="12">
        <v>0</v>
      </c>
      <c r="M16" s="12">
        <v>0</v>
      </c>
      <c r="N16" s="12">
        <v>0</v>
      </c>
      <c r="O16" s="12" t="s">
        <v>282</v>
      </c>
      <c r="P16" s="12">
        <v>0</v>
      </c>
      <c r="Q16" s="12">
        <v>162</v>
      </c>
      <c r="R16" s="12">
        <v>10</v>
      </c>
      <c r="S16" s="12">
        <v>10</v>
      </c>
      <c r="T16" s="12">
        <v>0</v>
      </c>
      <c r="U16" s="12">
        <v>0</v>
      </c>
    </row>
    <row r="17" spans="1:21" ht="18" customHeight="1" x14ac:dyDescent="0.35">
      <c r="A17" s="20" t="s">
        <v>14</v>
      </c>
      <c r="B17" s="17">
        <v>65</v>
      </c>
      <c r="C17" s="12">
        <v>65</v>
      </c>
      <c r="D17" s="12">
        <v>4</v>
      </c>
      <c r="E17" s="12">
        <v>8</v>
      </c>
      <c r="F17" s="12">
        <v>4</v>
      </c>
      <c r="G17" s="12">
        <v>308</v>
      </c>
      <c r="H17" s="12">
        <v>196</v>
      </c>
      <c r="I17" s="12">
        <v>293</v>
      </c>
      <c r="J17" s="12">
        <v>20</v>
      </c>
      <c r="K17" s="12">
        <v>14</v>
      </c>
      <c r="L17" s="12">
        <v>0</v>
      </c>
      <c r="M17" s="12">
        <v>0</v>
      </c>
      <c r="N17" s="12">
        <v>0</v>
      </c>
      <c r="O17" s="12" t="s">
        <v>282</v>
      </c>
      <c r="P17" s="12">
        <v>0</v>
      </c>
      <c r="Q17" s="12">
        <v>162</v>
      </c>
      <c r="R17" s="12">
        <v>5</v>
      </c>
      <c r="S17" s="12">
        <v>5</v>
      </c>
      <c r="T17" s="12">
        <v>0</v>
      </c>
      <c r="U17" s="12">
        <v>0</v>
      </c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F775-1FCF-4701-82A0-EAEA08DAE53B}">
  <sheetPr codeName="Feuil5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187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>
        <v>52</v>
      </c>
      <c r="C3" s="13">
        <v>59</v>
      </c>
      <c r="D3" s="13">
        <v>3</v>
      </c>
      <c r="E3" s="13">
        <v>4</v>
      </c>
      <c r="F3" s="13">
        <v>3</v>
      </c>
      <c r="G3" s="13">
        <v>276</v>
      </c>
      <c r="H3" s="13">
        <v>0</v>
      </c>
      <c r="I3" s="13">
        <v>276</v>
      </c>
      <c r="J3" s="13">
        <v>12</v>
      </c>
      <c r="K3" s="13">
        <v>5</v>
      </c>
      <c r="L3" s="13" t="s">
        <v>279</v>
      </c>
      <c r="M3" s="13">
        <v>428</v>
      </c>
      <c r="N3" s="13">
        <v>0</v>
      </c>
      <c r="O3" s="13">
        <v>74</v>
      </c>
      <c r="P3" s="13" t="s">
        <v>279</v>
      </c>
      <c r="Q3" s="13">
        <v>137</v>
      </c>
      <c r="R3" s="13" t="s">
        <v>279</v>
      </c>
      <c r="S3" s="13" t="s">
        <v>279</v>
      </c>
      <c r="T3" s="13">
        <v>0</v>
      </c>
      <c r="U3" s="13">
        <v>0</v>
      </c>
    </row>
    <row r="4" spans="1:22" ht="18" customHeight="1" x14ac:dyDescent="0.35">
      <c r="A4" s="20" t="s">
        <v>1</v>
      </c>
      <c r="B4" s="17">
        <v>52</v>
      </c>
      <c r="C4" s="12">
        <v>59</v>
      </c>
      <c r="D4" s="12">
        <v>3</v>
      </c>
      <c r="E4" s="12">
        <v>4</v>
      </c>
      <c r="F4" s="12">
        <v>3</v>
      </c>
      <c r="G4" s="12">
        <v>276</v>
      </c>
      <c r="H4" s="12">
        <v>0</v>
      </c>
      <c r="I4" s="12">
        <v>276</v>
      </c>
      <c r="J4" s="12">
        <v>12</v>
      </c>
      <c r="K4" s="12">
        <v>5</v>
      </c>
      <c r="L4" s="12" t="s">
        <v>279</v>
      </c>
      <c r="M4" s="12">
        <v>428</v>
      </c>
      <c r="N4" s="12">
        <v>0</v>
      </c>
      <c r="O4" s="12">
        <v>74</v>
      </c>
      <c r="P4" s="12" t="s">
        <v>279</v>
      </c>
      <c r="Q4" s="12">
        <v>137</v>
      </c>
      <c r="R4" s="12" t="s">
        <v>279</v>
      </c>
      <c r="S4" s="12" t="s">
        <v>279</v>
      </c>
      <c r="T4" s="12">
        <v>0</v>
      </c>
      <c r="U4" s="12">
        <v>0</v>
      </c>
    </row>
    <row r="5" spans="1:22" ht="18" customHeight="1" x14ac:dyDescent="0.35">
      <c r="A5" s="20" t="s">
        <v>2</v>
      </c>
      <c r="B5" s="17">
        <v>52</v>
      </c>
      <c r="C5" s="12">
        <v>59</v>
      </c>
      <c r="D5" s="12">
        <v>2</v>
      </c>
      <c r="E5" s="12">
        <v>4</v>
      </c>
      <c r="F5" s="12">
        <v>3</v>
      </c>
      <c r="G5" s="12">
        <v>276</v>
      </c>
      <c r="H5" s="12">
        <v>0</v>
      </c>
      <c r="I5" s="12">
        <v>276</v>
      </c>
      <c r="J5" s="12">
        <v>12</v>
      </c>
      <c r="K5" s="12">
        <v>5</v>
      </c>
      <c r="L5" s="12" t="s">
        <v>279</v>
      </c>
      <c r="M5" s="12">
        <v>428</v>
      </c>
      <c r="N5" s="12">
        <v>0</v>
      </c>
      <c r="O5" s="12">
        <v>74</v>
      </c>
      <c r="P5" s="12" t="s">
        <v>279</v>
      </c>
      <c r="Q5" s="12">
        <v>137</v>
      </c>
      <c r="R5" s="12" t="s">
        <v>279</v>
      </c>
      <c r="S5" s="12" t="s">
        <v>279</v>
      </c>
      <c r="T5" s="12">
        <v>0</v>
      </c>
      <c r="U5" s="12">
        <v>0</v>
      </c>
    </row>
    <row r="6" spans="1:22" ht="18" customHeight="1" x14ac:dyDescent="0.35">
      <c r="A6" s="20" t="s">
        <v>3</v>
      </c>
      <c r="B6" s="17">
        <v>52</v>
      </c>
      <c r="C6" s="12">
        <v>59</v>
      </c>
      <c r="D6" s="12">
        <v>3</v>
      </c>
      <c r="E6" s="12">
        <v>4</v>
      </c>
      <c r="F6" s="12">
        <v>3</v>
      </c>
      <c r="G6" s="12">
        <v>276</v>
      </c>
      <c r="H6" s="12">
        <v>0</v>
      </c>
      <c r="I6" s="12">
        <v>276</v>
      </c>
      <c r="J6" s="12">
        <v>12</v>
      </c>
      <c r="K6" s="12">
        <v>5</v>
      </c>
      <c r="L6" s="12" t="s">
        <v>279</v>
      </c>
      <c r="M6" s="12">
        <v>431</v>
      </c>
      <c r="N6" s="12">
        <v>0</v>
      </c>
      <c r="O6" s="12">
        <v>74</v>
      </c>
      <c r="P6" s="12" t="s">
        <v>279</v>
      </c>
      <c r="Q6" s="12">
        <v>137</v>
      </c>
      <c r="R6" s="12" t="s">
        <v>279</v>
      </c>
      <c r="S6" s="12" t="s">
        <v>279</v>
      </c>
      <c r="T6" s="12">
        <v>0</v>
      </c>
      <c r="U6" s="12">
        <v>0</v>
      </c>
    </row>
    <row r="7" spans="1:22" ht="18" customHeight="1" x14ac:dyDescent="0.35">
      <c r="A7" s="20" t="s">
        <v>4</v>
      </c>
      <c r="B7" s="17">
        <v>52</v>
      </c>
      <c r="C7" s="12">
        <v>59</v>
      </c>
      <c r="D7" s="12">
        <v>3</v>
      </c>
      <c r="E7" s="12">
        <v>4</v>
      </c>
      <c r="F7" s="12">
        <v>3</v>
      </c>
      <c r="G7" s="12">
        <v>276</v>
      </c>
      <c r="H7" s="12">
        <v>0</v>
      </c>
      <c r="I7" s="12">
        <v>276</v>
      </c>
      <c r="J7" s="12">
        <v>12</v>
      </c>
      <c r="K7" s="12">
        <v>5</v>
      </c>
      <c r="L7" s="12" t="s">
        <v>279</v>
      </c>
      <c r="M7" s="12">
        <v>438</v>
      </c>
      <c r="N7" s="12">
        <v>0</v>
      </c>
      <c r="O7" s="12">
        <v>249</v>
      </c>
      <c r="P7" s="12" t="s">
        <v>279</v>
      </c>
      <c r="Q7" s="12">
        <v>137</v>
      </c>
      <c r="R7" s="12" t="s">
        <v>279</v>
      </c>
      <c r="S7" s="12" t="s">
        <v>279</v>
      </c>
      <c r="T7" s="12">
        <v>0</v>
      </c>
      <c r="U7" s="12">
        <v>0</v>
      </c>
    </row>
    <row r="8" spans="1:22" ht="18" customHeight="1" x14ac:dyDescent="0.35">
      <c r="A8" s="20" t="s">
        <v>5</v>
      </c>
      <c r="B8" s="17">
        <v>52</v>
      </c>
      <c r="C8" s="12">
        <v>59</v>
      </c>
      <c r="D8" s="12">
        <v>3</v>
      </c>
      <c r="E8" s="12">
        <v>4</v>
      </c>
      <c r="F8" s="12">
        <v>3</v>
      </c>
      <c r="G8" s="12">
        <v>276</v>
      </c>
      <c r="H8" s="12">
        <v>0</v>
      </c>
      <c r="I8" s="12">
        <v>276</v>
      </c>
      <c r="J8" s="12">
        <v>12</v>
      </c>
      <c r="K8" s="12">
        <v>5</v>
      </c>
      <c r="L8" s="12" t="s">
        <v>279</v>
      </c>
      <c r="M8" s="12">
        <v>439</v>
      </c>
      <c r="N8" s="12">
        <v>0</v>
      </c>
      <c r="O8" s="12">
        <v>249</v>
      </c>
      <c r="P8" s="12" t="s">
        <v>279</v>
      </c>
      <c r="Q8" s="12">
        <v>137</v>
      </c>
      <c r="R8" s="12" t="s">
        <v>279</v>
      </c>
      <c r="S8" s="12" t="s">
        <v>279</v>
      </c>
      <c r="T8" s="12">
        <v>0</v>
      </c>
      <c r="U8" s="12">
        <v>0</v>
      </c>
    </row>
    <row r="9" spans="1:22" ht="18" customHeight="1" x14ac:dyDescent="0.35">
      <c r="A9" s="20" t="s">
        <v>6</v>
      </c>
      <c r="B9" s="17">
        <v>52</v>
      </c>
      <c r="C9" s="12">
        <v>59</v>
      </c>
      <c r="D9" s="12">
        <v>3</v>
      </c>
      <c r="E9" s="12">
        <v>4</v>
      </c>
      <c r="F9" s="12">
        <v>3</v>
      </c>
      <c r="G9" s="12">
        <v>276</v>
      </c>
      <c r="H9" s="12">
        <v>0</v>
      </c>
      <c r="I9" s="12">
        <v>276</v>
      </c>
      <c r="J9" s="12">
        <v>12</v>
      </c>
      <c r="K9" s="12">
        <v>5</v>
      </c>
      <c r="L9" s="12" t="s">
        <v>279</v>
      </c>
      <c r="M9" s="12">
        <v>443</v>
      </c>
      <c r="N9" s="12">
        <v>1</v>
      </c>
      <c r="O9" s="12">
        <v>249</v>
      </c>
      <c r="P9" s="12" t="s">
        <v>279</v>
      </c>
      <c r="Q9" s="12">
        <v>139</v>
      </c>
      <c r="R9" s="12" t="s">
        <v>279</v>
      </c>
      <c r="S9" s="12" t="s">
        <v>279</v>
      </c>
      <c r="T9" s="12">
        <v>0</v>
      </c>
      <c r="U9" s="12">
        <v>0</v>
      </c>
    </row>
    <row r="10" spans="1:22" ht="18" customHeight="1" x14ac:dyDescent="0.35">
      <c r="A10" s="20" t="s">
        <v>7</v>
      </c>
      <c r="B10" s="17">
        <v>52</v>
      </c>
      <c r="C10" s="12">
        <v>59</v>
      </c>
      <c r="D10" s="12">
        <v>4</v>
      </c>
      <c r="E10" s="12">
        <v>4</v>
      </c>
      <c r="F10" s="12">
        <v>3</v>
      </c>
      <c r="G10" s="12">
        <v>276</v>
      </c>
      <c r="H10" s="12">
        <v>0</v>
      </c>
      <c r="I10" s="12">
        <v>276</v>
      </c>
      <c r="J10" s="12">
        <v>45</v>
      </c>
      <c r="K10" s="12">
        <v>22</v>
      </c>
      <c r="L10" s="12" t="s">
        <v>279</v>
      </c>
      <c r="M10" s="12">
        <v>444</v>
      </c>
      <c r="N10" s="12">
        <v>10</v>
      </c>
      <c r="O10" s="12">
        <v>249</v>
      </c>
      <c r="P10" s="12" t="s">
        <v>279</v>
      </c>
      <c r="Q10" s="12">
        <v>140</v>
      </c>
      <c r="R10" s="12" t="s">
        <v>279</v>
      </c>
      <c r="S10" s="12" t="s">
        <v>279</v>
      </c>
      <c r="T10" s="12">
        <v>0</v>
      </c>
      <c r="U10" s="12">
        <v>0</v>
      </c>
    </row>
    <row r="11" spans="1:22" ht="18" customHeight="1" x14ac:dyDescent="0.35">
      <c r="A11" s="20" t="s">
        <v>8</v>
      </c>
      <c r="B11" s="17">
        <v>59</v>
      </c>
      <c r="C11" s="12">
        <v>70</v>
      </c>
      <c r="D11" s="12">
        <v>4</v>
      </c>
      <c r="E11" s="12">
        <v>4</v>
      </c>
      <c r="F11" s="12">
        <v>3</v>
      </c>
      <c r="G11" s="12">
        <v>276</v>
      </c>
      <c r="H11" s="12">
        <v>0</v>
      </c>
      <c r="I11" s="12">
        <v>276</v>
      </c>
      <c r="J11" s="12">
        <v>45</v>
      </c>
      <c r="K11" s="12">
        <v>22</v>
      </c>
      <c r="L11" s="12" t="s">
        <v>279</v>
      </c>
      <c r="M11" s="12">
        <v>444</v>
      </c>
      <c r="N11" s="12">
        <v>53</v>
      </c>
      <c r="O11" s="12">
        <v>370</v>
      </c>
      <c r="P11" s="12" t="s">
        <v>279</v>
      </c>
      <c r="Q11" s="12">
        <v>140</v>
      </c>
      <c r="R11" s="12" t="s">
        <v>279</v>
      </c>
      <c r="S11" s="12" t="s">
        <v>279</v>
      </c>
      <c r="T11" s="12">
        <v>0</v>
      </c>
      <c r="U11" s="12">
        <v>0</v>
      </c>
    </row>
    <row r="12" spans="1:22" ht="18" customHeight="1" x14ac:dyDescent="0.35">
      <c r="A12" s="20" t="s">
        <v>9</v>
      </c>
      <c r="B12" s="17">
        <v>59</v>
      </c>
      <c r="C12" s="12">
        <v>70</v>
      </c>
      <c r="D12" s="12">
        <v>4</v>
      </c>
      <c r="E12" s="12">
        <v>4</v>
      </c>
      <c r="F12" s="12">
        <v>3</v>
      </c>
      <c r="G12" s="12">
        <v>276</v>
      </c>
      <c r="H12" s="12">
        <v>0</v>
      </c>
      <c r="I12" s="12">
        <v>276</v>
      </c>
      <c r="J12" s="12">
        <v>45</v>
      </c>
      <c r="K12" s="12">
        <v>22</v>
      </c>
      <c r="L12" s="12" t="s">
        <v>279</v>
      </c>
      <c r="M12" s="12">
        <v>444</v>
      </c>
      <c r="N12" s="12">
        <v>68</v>
      </c>
      <c r="O12" s="12">
        <v>370</v>
      </c>
      <c r="P12" s="12" t="s">
        <v>279</v>
      </c>
      <c r="Q12" s="12">
        <v>140</v>
      </c>
      <c r="R12" s="12" t="s">
        <v>279</v>
      </c>
      <c r="S12" s="12" t="s">
        <v>279</v>
      </c>
      <c r="T12" s="12">
        <v>0</v>
      </c>
      <c r="U12" s="12">
        <v>0</v>
      </c>
    </row>
    <row r="13" spans="1:22" ht="18" customHeight="1" x14ac:dyDescent="0.35">
      <c r="A13" s="20" t="s">
        <v>10</v>
      </c>
      <c r="B13" s="17">
        <v>59</v>
      </c>
      <c r="C13" s="12">
        <v>70</v>
      </c>
      <c r="D13" s="12">
        <v>4</v>
      </c>
      <c r="E13" s="12">
        <v>4</v>
      </c>
      <c r="F13" s="12">
        <v>3</v>
      </c>
      <c r="G13" s="12">
        <v>276</v>
      </c>
      <c r="H13" s="12">
        <v>0</v>
      </c>
      <c r="I13" s="12">
        <v>276</v>
      </c>
      <c r="J13" s="12">
        <v>45</v>
      </c>
      <c r="K13" s="12">
        <v>22</v>
      </c>
      <c r="L13" s="12" t="s">
        <v>279</v>
      </c>
      <c r="M13" s="12">
        <v>444</v>
      </c>
      <c r="N13" s="12">
        <v>83</v>
      </c>
      <c r="O13" s="12">
        <v>370</v>
      </c>
      <c r="P13" s="12" t="s">
        <v>279</v>
      </c>
      <c r="Q13" s="12">
        <v>140</v>
      </c>
      <c r="R13" s="12" t="s">
        <v>279</v>
      </c>
      <c r="S13" s="12" t="s">
        <v>279</v>
      </c>
      <c r="T13" s="12">
        <v>0</v>
      </c>
      <c r="U13" s="12">
        <v>0</v>
      </c>
    </row>
    <row r="14" spans="1:22" ht="18" customHeight="1" x14ac:dyDescent="0.35">
      <c r="A14" s="20" t="s">
        <v>11</v>
      </c>
      <c r="B14" s="17">
        <v>59</v>
      </c>
      <c r="C14" s="12">
        <v>70</v>
      </c>
      <c r="D14" s="12">
        <v>4</v>
      </c>
      <c r="E14" s="12">
        <v>4</v>
      </c>
      <c r="F14" s="12">
        <v>3</v>
      </c>
      <c r="G14" s="12">
        <v>276</v>
      </c>
      <c r="H14" s="12">
        <v>0</v>
      </c>
      <c r="I14" s="12">
        <v>276</v>
      </c>
      <c r="J14" s="12">
        <v>45</v>
      </c>
      <c r="K14" s="12">
        <v>22</v>
      </c>
      <c r="L14" s="12" t="s">
        <v>279</v>
      </c>
      <c r="M14" s="12">
        <v>445</v>
      </c>
      <c r="N14" s="12">
        <v>84</v>
      </c>
      <c r="O14" s="12">
        <v>370</v>
      </c>
      <c r="P14" s="12" t="s">
        <v>279</v>
      </c>
      <c r="Q14" s="12">
        <v>141</v>
      </c>
      <c r="R14" s="12" t="s">
        <v>279</v>
      </c>
      <c r="S14" s="12" t="s">
        <v>279</v>
      </c>
      <c r="T14" s="12">
        <v>0</v>
      </c>
      <c r="U14" s="12">
        <v>0</v>
      </c>
    </row>
    <row r="15" spans="1:22" ht="18" customHeight="1" x14ac:dyDescent="0.35">
      <c r="A15" s="20" t="s">
        <v>12</v>
      </c>
      <c r="B15" s="17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8" customHeight="1" x14ac:dyDescent="0.35">
      <c r="A16" s="20" t="s">
        <v>13</v>
      </c>
      <c r="B16" s="17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" customHeight="1" x14ac:dyDescent="0.35">
      <c r="A17" s="20" t="s">
        <v>14</v>
      </c>
      <c r="B17" s="17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0EA21-7713-46D6-BA12-F440A03D87F5}">
  <sheetPr codeName="Feuil6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188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>
        <v>0</v>
      </c>
      <c r="C3" s="13">
        <v>62</v>
      </c>
      <c r="D3" s="13">
        <v>18</v>
      </c>
      <c r="E3" s="13">
        <v>22</v>
      </c>
      <c r="F3" s="13">
        <v>18</v>
      </c>
      <c r="G3" s="13">
        <v>331</v>
      </c>
      <c r="H3" s="13">
        <v>0</v>
      </c>
      <c r="I3" s="13">
        <v>120</v>
      </c>
      <c r="J3" s="13">
        <v>0</v>
      </c>
      <c r="K3" s="13">
        <v>0</v>
      </c>
      <c r="L3" s="13" t="e">
        <v>#N/A</v>
      </c>
      <c r="M3" s="13">
        <v>0</v>
      </c>
      <c r="N3" s="13">
        <v>0</v>
      </c>
      <c r="O3" s="13">
        <v>0</v>
      </c>
      <c r="P3" s="13">
        <v>0</v>
      </c>
      <c r="Q3" s="13">
        <v>18</v>
      </c>
      <c r="R3" s="13">
        <v>54</v>
      </c>
      <c r="S3" s="13">
        <v>0</v>
      </c>
      <c r="T3" s="13">
        <v>0</v>
      </c>
      <c r="U3" s="13">
        <v>0</v>
      </c>
    </row>
    <row r="4" spans="1:22" ht="18" customHeight="1" x14ac:dyDescent="0.35">
      <c r="A4" s="20" t="s">
        <v>1</v>
      </c>
      <c r="B4" s="17">
        <v>0</v>
      </c>
      <c r="C4" s="12">
        <v>62</v>
      </c>
      <c r="D4" s="12">
        <v>18</v>
      </c>
      <c r="E4" s="12">
        <v>22</v>
      </c>
      <c r="F4" s="12">
        <v>18</v>
      </c>
      <c r="G4" s="12">
        <v>331</v>
      </c>
      <c r="H4" s="12">
        <v>0</v>
      </c>
      <c r="I4" s="12">
        <v>120</v>
      </c>
      <c r="J4" s="12">
        <v>0</v>
      </c>
      <c r="K4" s="12">
        <v>0</v>
      </c>
      <c r="L4" s="12" t="e">
        <v>#N/A</v>
      </c>
      <c r="M4" s="12">
        <v>0</v>
      </c>
      <c r="N4" s="12">
        <v>0</v>
      </c>
      <c r="O4" s="12">
        <v>0</v>
      </c>
      <c r="P4" s="12">
        <v>0</v>
      </c>
      <c r="Q4" s="12">
        <v>18</v>
      </c>
      <c r="R4" s="12">
        <v>542</v>
      </c>
      <c r="S4" s="12">
        <v>0</v>
      </c>
      <c r="T4" s="12">
        <v>0</v>
      </c>
      <c r="U4" s="12">
        <v>0</v>
      </c>
    </row>
    <row r="5" spans="1:22" ht="18" customHeight="1" x14ac:dyDescent="0.35">
      <c r="A5" s="20" t="s">
        <v>2</v>
      </c>
      <c r="B5" s="17">
        <v>0</v>
      </c>
      <c r="C5" s="12">
        <v>62</v>
      </c>
      <c r="D5" s="12">
        <v>18</v>
      </c>
      <c r="E5" s="12">
        <v>22</v>
      </c>
      <c r="F5" s="12">
        <v>18</v>
      </c>
      <c r="G5" s="12">
        <v>331</v>
      </c>
      <c r="H5" s="12">
        <v>0</v>
      </c>
      <c r="I5" s="12">
        <v>120</v>
      </c>
      <c r="J5" s="12">
        <v>0</v>
      </c>
      <c r="K5" s="12">
        <v>0</v>
      </c>
      <c r="L5" s="12" t="e">
        <v>#N/A</v>
      </c>
      <c r="M5" s="12">
        <v>0</v>
      </c>
      <c r="N5" s="12">
        <v>0</v>
      </c>
      <c r="O5" s="12">
        <v>0</v>
      </c>
      <c r="P5" s="12">
        <v>0</v>
      </c>
      <c r="Q5" s="12">
        <v>18</v>
      </c>
      <c r="R5" s="12">
        <v>473</v>
      </c>
      <c r="S5" s="12">
        <v>0</v>
      </c>
      <c r="T5" s="12">
        <v>0</v>
      </c>
      <c r="U5" s="12">
        <v>0</v>
      </c>
    </row>
    <row r="6" spans="1:22" ht="18" customHeight="1" x14ac:dyDescent="0.35">
      <c r="A6" s="20" t="s">
        <v>3</v>
      </c>
      <c r="B6" s="17">
        <v>0</v>
      </c>
      <c r="C6" s="12">
        <v>62</v>
      </c>
      <c r="D6" s="12">
        <v>18</v>
      </c>
      <c r="E6" s="12">
        <v>22</v>
      </c>
      <c r="F6" s="12">
        <v>18</v>
      </c>
      <c r="G6" s="12">
        <v>331</v>
      </c>
      <c r="H6" s="12">
        <v>0</v>
      </c>
      <c r="I6" s="12">
        <v>120</v>
      </c>
      <c r="J6" s="12">
        <v>1</v>
      </c>
      <c r="K6" s="12">
        <v>0</v>
      </c>
      <c r="L6" s="12" t="e">
        <v>#N/A</v>
      </c>
      <c r="M6" s="12">
        <v>0</v>
      </c>
      <c r="N6" s="12">
        <v>0</v>
      </c>
      <c r="O6" s="12">
        <v>0</v>
      </c>
      <c r="P6" s="12">
        <v>0</v>
      </c>
      <c r="Q6" s="12">
        <v>18</v>
      </c>
      <c r="R6" s="12">
        <v>576</v>
      </c>
      <c r="S6" s="12">
        <v>0</v>
      </c>
      <c r="T6" s="12">
        <v>0</v>
      </c>
      <c r="U6" s="12">
        <v>0</v>
      </c>
    </row>
    <row r="7" spans="1:22" ht="18" customHeight="1" x14ac:dyDescent="0.35">
      <c r="A7" s="20" t="s">
        <v>4</v>
      </c>
      <c r="B7" s="17">
        <v>0</v>
      </c>
      <c r="C7" s="12">
        <v>62</v>
      </c>
      <c r="D7" s="12">
        <v>16</v>
      </c>
      <c r="E7" s="12">
        <v>22</v>
      </c>
      <c r="F7" s="12">
        <v>16</v>
      </c>
      <c r="G7" s="12">
        <v>331</v>
      </c>
      <c r="H7" s="12">
        <v>0</v>
      </c>
      <c r="I7" s="12">
        <v>120</v>
      </c>
      <c r="J7" s="12">
        <v>1</v>
      </c>
      <c r="K7" s="12">
        <v>1</v>
      </c>
      <c r="L7" s="12" t="e">
        <v>#N/A</v>
      </c>
      <c r="M7" s="12">
        <v>0</v>
      </c>
      <c r="N7" s="12">
        <v>0</v>
      </c>
      <c r="O7" s="12">
        <v>0</v>
      </c>
      <c r="P7" s="12">
        <v>0</v>
      </c>
      <c r="Q7" s="12">
        <v>18</v>
      </c>
      <c r="R7" s="12">
        <v>489</v>
      </c>
      <c r="S7" s="12">
        <v>0</v>
      </c>
      <c r="T7" s="12">
        <v>0</v>
      </c>
      <c r="U7" s="12">
        <v>0</v>
      </c>
    </row>
    <row r="8" spans="1:22" ht="18" customHeight="1" x14ac:dyDescent="0.35">
      <c r="A8" s="20" t="s">
        <v>5</v>
      </c>
      <c r="B8" s="17">
        <v>0</v>
      </c>
      <c r="C8" s="12">
        <v>62</v>
      </c>
      <c r="D8" s="12">
        <v>16</v>
      </c>
      <c r="E8" s="12">
        <v>22</v>
      </c>
      <c r="F8" s="12">
        <v>16</v>
      </c>
      <c r="G8" s="12">
        <v>331</v>
      </c>
      <c r="H8" s="12">
        <v>0</v>
      </c>
      <c r="I8" s="12">
        <v>120</v>
      </c>
      <c r="J8" s="12">
        <v>1</v>
      </c>
      <c r="K8" s="12">
        <v>1</v>
      </c>
      <c r="L8" s="12" t="e">
        <v>#N/A</v>
      </c>
      <c r="M8" s="12">
        <v>0</v>
      </c>
      <c r="N8" s="12">
        <v>0</v>
      </c>
      <c r="O8" s="12">
        <v>0</v>
      </c>
      <c r="P8" s="12">
        <v>0</v>
      </c>
      <c r="Q8" s="12">
        <v>18</v>
      </c>
      <c r="R8" s="12">
        <v>645</v>
      </c>
      <c r="S8" s="12">
        <v>0</v>
      </c>
      <c r="T8" s="12">
        <v>0</v>
      </c>
      <c r="U8" s="12">
        <v>0</v>
      </c>
    </row>
    <row r="9" spans="1:22" ht="18" customHeight="1" x14ac:dyDescent="0.35">
      <c r="A9" s="20" t="s">
        <v>6</v>
      </c>
      <c r="B9" s="17">
        <v>0</v>
      </c>
      <c r="C9" s="12">
        <v>62</v>
      </c>
      <c r="D9" s="12">
        <v>16</v>
      </c>
      <c r="E9" s="12">
        <v>22</v>
      </c>
      <c r="F9" s="12">
        <v>16</v>
      </c>
      <c r="G9" s="12">
        <v>331</v>
      </c>
      <c r="H9" s="12">
        <v>0</v>
      </c>
      <c r="I9" s="12">
        <v>120</v>
      </c>
      <c r="J9" s="12">
        <v>32</v>
      </c>
      <c r="K9" s="12">
        <v>1</v>
      </c>
      <c r="L9" s="12" t="e">
        <v>#N/A</v>
      </c>
      <c r="M9" s="12">
        <v>0</v>
      </c>
      <c r="N9" s="12">
        <v>0</v>
      </c>
      <c r="O9" s="12">
        <v>0</v>
      </c>
      <c r="P9" s="12">
        <v>0</v>
      </c>
      <c r="Q9" s="12">
        <v>18</v>
      </c>
      <c r="R9" s="12">
        <v>681</v>
      </c>
      <c r="S9" s="12">
        <v>0</v>
      </c>
      <c r="T9" s="12">
        <v>0</v>
      </c>
      <c r="U9" s="12">
        <v>0</v>
      </c>
    </row>
    <row r="10" spans="1:22" ht="18" customHeight="1" x14ac:dyDescent="0.35">
      <c r="A10" s="20" t="s">
        <v>7</v>
      </c>
      <c r="B10" s="17">
        <v>0</v>
      </c>
      <c r="C10" s="12">
        <v>62</v>
      </c>
      <c r="D10" s="12">
        <v>16</v>
      </c>
      <c r="E10" s="12">
        <v>22</v>
      </c>
      <c r="F10" s="12">
        <v>16</v>
      </c>
      <c r="G10" s="12">
        <v>331</v>
      </c>
      <c r="H10" s="12">
        <v>0</v>
      </c>
      <c r="I10" s="12">
        <v>120</v>
      </c>
      <c r="J10" s="12">
        <v>32</v>
      </c>
      <c r="K10" s="12">
        <v>1</v>
      </c>
      <c r="L10" s="12" t="e">
        <v>#N/A</v>
      </c>
      <c r="M10" s="12">
        <v>0</v>
      </c>
      <c r="N10" s="12">
        <v>0</v>
      </c>
      <c r="O10" s="12">
        <v>0</v>
      </c>
      <c r="P10" s="12">
        <v>0</v>
      </c>
      <c r="Q10" s="12">
        <v>18</v>
      </c>
      <c r="R10" s="12">
        <v>781</v>
      </c>
      <c r="S10" s="12">
        <v>0</v>
      </c>
      <c r="T10" s="12">
        <v>0</v>
      </c>
      <c r="U10" s="12">
        <v>0</v>
      </c>
    </row>
    <row r="11" spans="1:22" ht="18" customHeight="1" x14ac:dyDescent="0.35">
      <c r="A11" s="20" t="s">
        <v>8</v>
      </c>
      <c r="B11" s="17">
        <v>0</v>
      </c>
      <c r="C11" s="12">
        <v>62</v>
      </c>
      <c r="D11" s="12">
        <v>16</v>
      </c>
      <c r="E11" s="12">
        <v>22</v>
      </c>
      <c r="F11" s="12">
        <v>16</v>
      </c>
      <c r="G11" s="12">
        <v>331</v>
      </c>
      <c r="H11" s="12">
        <v>0</v>
      </c>
      <c r="I11" s="12">
        <v>120</v>
      </c>
      <c r="J11" s="12">
        <v>32</v>
      </c>
      <c r="K11" s="12">
        <v>2</v>
      </c>
      <c r="L11" s="12" t="e">
        <v>#N/A</v>
      </c>
      <c r="M11" s="12">
        <v>0</v>
      </c>
      <c r="N11" s="12">
        <v>0</v>
      </c>
      <c r="O11" s="12">
        <v>0</v>
      </c>
      <c r="P11" s="12">
        <v>0</v>
      </c>
      <c r="Q11" s="12">
        <v>18</v>
      </c>
      <c r="R11" s="12">
        <v>348</v>
      </c>
      <c r="S11" s="12">
        <v>0</v>
      </c>
      <c r="T11" s="12">
        <v>0</v>
      </c>
      <c r="U11" s="12">
        <v>0</v>
      </c>
    </row>
    <row r="12" spans="1:22" ht="18" customHeight="1" x14ac:dyDescent="0.35">
      <c r="A12" s="20" t="s">
        <v>9</v>
      </c>
      <c r="B12" s="17">
        <v>0</v>
      </c>
      <c r="C12" s="12">
        <v>65</v>
      </c>
      <c r="D12" s="12">
        <v>16</v>
      </c>
      <c r="E12" s="12">
        <v>22</v>
      </c>
      <c r="F12" s="12">
        <v>16</v>
      </c>
      <c r="G12" s="12">
        <v>331</v>
      </c>
      <c r="H12" s="12">
        <v>0</v>
      </c>
      <c r="I12" s="12">
        <v>120</v>
      </c>
      <c r="J12" s="12">
        <v>32</v>
      </c>
      <c r="K12" s="12">
        <v>2</v>
      </c>
      <c r="L12" s="12" t="e">
        <v>#N/A</v>
      </c>
      <c r="M12" s="12">
        <v>0</v>
      </c>
      <c r="N12" s="12">
        <v>0</v>
      </c>
      <c r="O12" s="12">
        <v>0</v>
      </c>
      <c r="P12" s="12">
        <v>0</v>
      </c>
      <c r="Q12" s="12">
        <v>18</v>
      </c>
      <c r="R12" s="12">
        <v>346</v>
      </c>
      <c r="S12" s="12">
        <v>0</v>
      </c>
      <c r="T12" s="12">
        <v>0</v>
      </c>
      <c r="U12" s="12">
        <v>0</v>
      </c>
    </row>
    <row r="13" spans="1:22" ht="18" customHeight="1" x14ac:dyDescent="0.35">
      <c r="A13" s="20" t="s">
        <v>10</v>
      </c>
      <c r="B13" s="17">
        <v>0</v>
      </c>
      <c r="C13" s="12">
        <v>65</v>
      </c>
      <c r="D13" s="12">
        <v>16</v>
      </c>
      <c r="E13" s="12">
        <v>22</v>
      </c>
      <c r="F13" s="12">
        <v>16</v>
      </c>
      <c r="G13" s="12">
        <v>331</v>
      </c>
      <c r="H13" s="12">
        <v>0</v>
      </c>
      <c r="I13" s="12">
        <v>120</v>
      </c>
      <c r="J13" s="12">
        <v>32</v>
      </c>
      <c r="K13" s="12">
        <v>2</v>
      </c>
      <c r="L13" s="12" t="e">
        <v>#N/A</v>
      </c>
      <c r="M13" s="12">
        <v>0</v>
      </c>
      <c r="N13" s="12">
        <v>0</v>
      </c>
      <c r="O13" s="12">
        <v>0</v>
      </c>
      <c r="P13" s="12">
        <v>0</v>
      </c>
      <c r="Q13" s="12">
        <v>18</v>
      </c>
      <c r="R13" s="12">
        <v>493</v>
      </c>
      <c r="S13" s="12">
        <v>0</v>
      </c>
      <c r="T13" s="12">
        <v>0</v>
      </c>
      <c r="U13" s="12">
        <v>0</v>
      </c>
    </row>
    <row r="14" spans="1:22" ht="18" customHeight="1" x14ac:dyDescent="0.35">
      <c r="A14" s="20" t="s">
        <v>11</v>
      </c>
      <c r="B14" s="17">
        <v>0</v>
      </c>
      <c r="C14" s="12">
        <v>65</v>
      </c>
      <c r="D14" s="12">
        <v>16</v>
      </c>
      <c r="E14" s="12">
        <v>22</v>
      </c>
      <c r="F14" s="12">
        <v>16</v>
      </c>
      <c r="G14" s="12">
        <v>331</v>
      </c>
      <c r="H14" s="12">
        <v>52</v>
      </c>
      <c r="I14" s="12">
        <v>120</v>
      </c>
      <c r="J14" s="12">
        <v>32</v>
      </c>
      <c r="K14" s="12">
        <v>2</v>
      </c>
      <c r="L14" s="12" t="e">
        <v>#N/A</v>
      </c>
      <c r="M14" s="12">
        <v>1164</v>
      </c>
      <c r="N14" s="12">
        <v>391</v>
      </c>
      <c r="O14" s="12">
        <v>0</v>
      </c>
      <c r="P14" s="12">
        <v>0</v>
      </c>
      <c r="Q14" s="12">
        <v>18</v>
      </c>
      <c r="R14" s="12">
        <v>367</v>
      </c>
      <c r="S14" s="12">
        <v>0</v>
      </c>
      <c r="T14" s="12">
        <v>0</v>
      </c>
      <c r="U14" s="12">
        <v>0</v>
      </c>
    </row>
    <row r="15" spans="1:22" ht="18" customHeight="1" x14ac:dyDescent="0.35">
      <c r="A15" s="20" t="s">
        <v>12</v>
      </c>
      <c r="B15" s="17">
        <v>0</v>
      </c>
      <c r="C15" s="12">
        <v>65</v>
      </c>
      <c r="D15" s="12">
        <v>16</v>
      </c>
      <c r="E15" s="12">
        <v>22</v>
      </c>
      <c r="F15" s="12">
        <v>16</v>
      </c>
      <c r="G15" s="12">
        <v>331</v>
      </c>
      <c r="H15" s="12">
        <v>52</v>
      </c>
      <c r="I15" s="12">
        <v>120</v>
      </c>
      <c r="J15" s="12">
        <v>32</v>
      </c>
      <c r="K15" s="12">
        <v>2</v>
      </c>
      <c r="L15" s="12" t="e">
        <v>#N/A</v>
      </c>
      <c r="M15" s="12">
        <v>1614</v>
      </c>
      <c r="N15" s="12">
        <v>450</v>
      </c>
      <c r="O15" s="12">
        <v>9</v>
      </c>
      <c r="P15" s="12">
        <v>0</v>
      </c>
      <c r="Q15" s="12">
        <v>18</v>
      </c>
      <c r="R15" s="12">
        <v>421</v>
      </c>
      <c r="S15" s="12">
        <v>0</v>
      </c>
      <c r="T15" s="12">
        <v>0</v>
      </c>
      <c r="U15" s="12">
        <v>0</v>
      </c>
    </row>
    <row r="16" spans="1:22" ht="18" customHeight="1" x14ac:dyDescent="0.35">
      <c r="A16" s="20" t="s">
        <v>13</v>
      </c>
      <c r="B16" s="17">
        <v>0</v>
      </c>
      <c r="C16" s="12">
        <v>65</v>
      </c>
      <c r="D16" s="12">
        <v>16</v>
      </c>
      <c r="E16" s="12">
        <v>22</v>
      </c>
      <c r="F16" s="12">
        <v>16</v>
      </c>
      <c r="G16" s="12">
        <v>331</v>
      </c>
      <c r="H16" s="12">
        <v>52</v>
      </c>
      <c r="I16" s="12">
        <v>120</v>
      </c>
      <c r="J16" s="12">
        <v>32</v>
      </c>
      <c r="K16" s="12">
        <v>2</v>
      </c>
      <c r="L16" s="12" t="e">
        <v>#N/A</v>
      </c>
      <c r="M16" s="12">
        <v>2017</v>
      </c>
      <c r="N16" s="12">
        <v>403</v>
      </c>
      <c r="O16" s="12">
        <v>0</v>
      </c>
      <c r="P16" s="12">
        <v>0</v>
      </c>
      <c r="Q16" s="12">
        <v>18</v>
      </c>
      <c r="R16" s="12">
        <v>476</v>
      </c>
      <c r="S16" s="12">
        <v>0</v>
      </c>
      <c r="T16" s="12">
        <v>0</v>
      </c>
      <c r="U16" s="12">
        <v>0</v>
      </c>
    </row>
    <row r="17" spans="1:21" ht="18" customHeight="1" x14ac:dyDescent="0.35">
      <c r="A17" s="20" t="s">
        <v>14</v>
      </c>
      <c r="B17" s="17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B3864-475F-4A0E-8117-F801F793BF81}">
  <sheetPr codeName="Feuil7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189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2" ht="18" customHeight="1" x14ac:dyDescent="0.35">
      <c r="A4" s="20" t="s">
        <v>1</v>
      </c>
      <c r="B4" s="17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8" customHeight="1" x14ac:dyDescent="0.35">
      <c r="A5" s="20" t="s">
        <v>2</v>
      </c>
      <c r="B5" s="17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8" customHeight="1" x14ac:dyDescent="0.35">
      <c r="A6" s="20" t="s">
        <v>3</v>
      </c>
      <c r="B6" s="17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8" customHeight="1" x14ac:dyDescent="0.35">
      <c r="A7" s="20" t="s">
        <v>4</v>
      </c>
      <c r="B7" s="1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8" customHeight="1" x14ac:dyDescent="0.35">
      <c r="A8" s="20" t="s">
        <v>5</v>
      </c>
      <c r="B8" s="1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8" customHeight="1" x14ac:dyDescent="0.35">
      <c r="A9" s="20" t="s">
        <v>6</v>
      </c>
      <c r="B9" s="17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8" customHeight="1" x14ac:dyDescent="0.35">
      <c r="A10" s="20" t="s">
        <v>7</v>
      </c>
      <c r="B10" s="17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ht="18" customHeight="1" x14ac:dyDescent="0.35">
      <c r="A11" s="20" t="s">
        <v>8</v>
      </c>
      <c r="B11" s="17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8" customHeight="1" x14ac:dyDescent="0.35">
      <c r="A12" s="20" t="s">
        <v>9</v>
      </c>
      <c r="B12" s="17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ht="18" customHeight="1" x14ac:dyDescent="0.35">
      <c r="A13" s="20" t="s">
        <v>10</v>
      </c>
      <c r="B13" s="17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8" customHeight="1" x14ac:dyDescent="0.35">
      <c r="A14" s="20" t="s">
        <v>11</v>
      </c>
      <c r="B14" s="17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ht="18" customHeight="1" x14ac:dyDescent="0.35">
      <c r="A15" s="20" t="s">
        <v>12</v>
      </c>
      <c r="B15" s="17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8" customHeight="1" x14ac:dyDescent="0.35">
      <c r="A16" s="20" t="s">
        <v>13</v>
      </c>
      <c r="B16" s="17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" customHeight="1" x14ac:dyDescent="0.35">
      <c r="A17" s="20" t="s">
        <v>14</v>
      </c>
      <c r="B17" s="17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92CA6-A069-4C04-B0A5-8942DDC34E98}">
  <sheetPr codeName="Feuil8"/>
  <dimension ref="A1:V54"/>
  <sheetViews>
    <sheetView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190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>
        <v>0</v>
      </c>
      <c r="C3" s="13">
        <v>62</v>
      </c>
      <c r="D3" s="13">
        <v>6</v>
      </c>
      <c r="E3" s="13">
        <v>6</v>
      </c>
      <c r="F3" s="13">
        <v>6</v>
      </c>
      <c r="G3" s="13">
        <v>166</v>
      </c>
      <c r="H3" s="13">
        <v>166</v>
      </c>
      <c r="I3" s="13"/>
      <c r="J3" s="13">
        <v>30</v>
      </c>
      <c r="K3" s="13">
        <v>4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11</v>
      </c>
      <c r="R3" s="13">
        <v>0</v>
      </c>
      <c r="S3" s="13">
        <v>0</v>
      </c>
      <c r="T3" s="13">
        <v>0</v>
      </c>
      <c r="U3" s="13">
        <v>0</v>
      </c>
    </row>
    <row r="4" spans="1:22" ht="18" customHeight="1" x14ac:dyDescent="0.35">
      <c r="A4" s="20" t="s">
        <v>1</v>
      </c>
      <c r="B4" s="17">
        <v>0</v>
      </c>
      <c r="C4" s="12">
        <v>62</v>
      </c>
      <c r="D4" s="12">
        <v>6</v>
      </c>
      <c r="E4" s="12">
        <v>6</v>
      </c>
      <c r="F4" s="12">
        <v>6</v>
      </c>
      <c r="G4" s="12">
        <v>166</v>
      </c>
      <c r="H4" s="12">
        <v>166</v>
      </c>
      <c r="I4" s="12">
        <v>0</v>
      </c>
      <c r="J4" s="12">
        <v>30</v>
      </c>
      <c r="K4" s="12">
        <v>4</v>
      </c>
      <c r="L4" s="12">
        <v>0</v>
      </c>
      <c r="M4" s="12">
        <v>0</v>
      </c>
      <c r="N4" s="12">
        <v>1</v>
      </c>
      <c r="O4" s="12">
        <v>1</v>
      </c>
      <c r="P4" s="12">
        <v>0</v>
      </c>
      <c r="Q4" s="12">
        <v>11</v>
      </c>
      <c r="R4" s="12">
        <v>0</v>
      </c>
      <c r="S4" s="12">
        <v>0</v>
      </c>
      <c r="T4" s="12">
        <v>0</v>
      </c>
      <c r="U4" s="12">
        <v>0</v>
      </c>
    </row>
    <row r="5" spans="1:22" ht="18" customHeight="1" x14ac:dyDescent="0.35">
      <c r="A5" s="20" t="s">
        <v>2</v>
      </c>
      <c r="B5" s="17">
        <v>0</v>
      </c>
      <c r="C5" s="12">
        <v>62</v>
      </c>
      <c r="D5" s="12">
        <v>6</v>
      </c>
      <c r="E5" s="12">
        <v>6</v>
      </c>
      <c r="F5" s="12">
        <v>6</v>
      </c>
      <c r="G5" s="12">
        <v>165</v>
      </c>
      <c r="H5" s="12">
        <v>165</v>
      </c>
      <c r="I5" s="12">
        <v>0</v>
      </c>
      <c r="J5" s="12">
        <v>30</v>
      </c>
      <c r="K5" s="12">
        <v>4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11</v>
      </c>
      <c r="R5" s="12">
        <v>0</v>
      </c>
      <c r="S5" s="12">
        <v>0</v>
      </c>
      <c r="T5" s="12">
        <v>0</v>
      </c>
      <c r="U5" s="12">
        <v>0</v>
      </c>
    </row>
    <row r="6" spans="1:22" ht="18" customHeight="1" x14ac:dyDescent="0.35">
      <c r="A6" s="20" t="s">
        <v>3</v>
      </c>
      <c r="B6" s="17">
        <v>0</v>
      </c>
      <c r="C6" s="12">
        <v>62</v>
      </c>
      <c r="D6" s="12">
        <v>6</v>
      </c>
      <c r="E6" s="12">
        <v>6</v>
      </c>
      <c r="F6" s="12">
        <v>6</v>
      </c>
      <c r="G6" s="12">
        <v>165</v>
      </c>
      <c r="H6" s="12">
        <v>165</v>
      </c>
      <c r="I6" s="12">
        <v>0</v>
      </c>
      <c r="J6" s="12">
        <v>30</v>
      </c>
      <c r="K6" s="12">
        <v>4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11</v>
      </c>
      <c r="R6" s="12">
        <v>0</v>
      </c>
      <c r="S6" s="12">
        <v>0</v>
      </c>
      <c r="T6" s="12">
        <v>0</v>
      </c>
      <c r="U6" s="12">
        <v>0</v>
      </c>
    </row>
    <row r="7" spans="1:22" ht="18" customHeight="1" x14ac:dyDescent="0.35">
      <c r="A7" s="20" t="s">
        <v>4</v>
      </c>
      <c r="B7" s="17">
        <v>0</v>
      </c>
      <c r="C7" s="12">
        <v>62</v>
      </c>
      <c r="D7" s="12">
        <v>6</v>
      </c>
      <c r="E7" s="12">
        <v>6</v>
      </c>
      <c r="F7" s="12">
        <v>6</v>
      </c>
      <c r="G7" s="12">
        <v>165</v>
      </c>
      <c r="H7" s="12">
        <v>165</v>
      </c>
      <c r="I7" s="12">
        <v>0</v>
      </c>
      <c r="J7" s="12">
        <v>30</v>
      </c>
      <c r="K7" s="12">
        <v>4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11</v>
      </c>
      <c r="R7" s="12">
        <v>0</v>
      </c>
      <c r="S7" s="12">
        <v>0</v>
      </c>
      <c r="T7" s="12">
        <v>0</v>
      </c>
      <c r="U7" s="12">
        <v>0</v>
      </c>
    </row>
    <row r="8" spans="1:22" ht="18" customHeight="1" x14ac:dyDescent="0.35">
      <c r="A8" s="20" t="s">
        <v>5</v>
      </c>
      <c r="B8" s="17">
        <v>0</v>
      </c>
      <c r="C8" s="12">
        <v>62</v>
      </c>
      <c r="D8" s="12">
        <v>6</v>
      </c>
      <c r="E8" s="12">
        <v>6</v>
      </c>
      <c r="F8" s="12">
        <v>6</v>
      </c>
      <c r="G8" s="12">
        <v>165</v>
      </c>
      <c r="H8" s="12">
        <v>165</v>
      </c>
      <c r="I8" s="12">
        <v>0</v>
      </c>
      <c r="J8" s="12">
        <v>30</v>
      </c>
      <c r="K8" s="12">
        <v>4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11</v>
      </c>
      <c r="R8" s="12">
        <v>0</v>
      </c>
      <c r="S8" s="12">
        <v>0</v>
      </c>
      <c r="T8" s="12">
        <v>0</v>
      </c>
      <c r="U8" s="12">
        <v>0</v>
      </c>
    </row>
    <row r="9" spans="1:22" ht="18" customHeight="1" x14ac:dyDescent="0.35">
      <c r="A9" s="20" t="s">
        <v>6</v>
      </c>
      <c r="B9" s="17">
        <v>0</v>
      </c>
      <c r="C9" s="12">
        <v>62</v>
      </c>
      <c r="D9" s="12">
        <v>6</v>
      </c>
      <c r="E9" s="12">
        <v>6</v>
      </c>
      <c r="F9" s="12">
        <v>6</v>
      </c>
      <c r="G9" s="12">
        <v>165</v>
      </c>
      <c r="H9" s="12">
        <v>165</v>
      </c>
      <c r="I9" s="12">
        <v>0</v>
      </c>
      <c r="J9" s="12">
        <v>30</v>
      </c>
      <c r="K9" s="12">
        <v>4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11</v>
      </c>
      <c r="R9" s="12">
        <v>0</v>
      </c>
      <c r="S9" s="12">
        <v>0</v>
      </c>
      <c r="T9" s="12">
        <v>0</v>
      </c>
      <c r="U9" s="12">
        <v>0</v>
      </c>
    </row>
    <row r="10" spans="1:22" ht="18" customHeight="1" x14ac:dyDescent="0.35">
      <c r="A10" s="20" t="s">
        <v>7</v>
      </c>
      <c r="B10" s="17">
        <v>3</v>
      </c>
      <c r="C10" s="12">
        <v>62</v>
      </c>
      <c r="D10" s="12">
        <v>6</v>
      </c>
      <c r="E10" s="12">
        <v>6</v>
      </c>
      <c r="F10" s="12">
        <v>6</v>
      </c>
      <c r="G10" s="12">
        <v>165</v>
      </c>
      <c r="H10" s="12">
        <v>165</v>
      </c>
      <c r="I10" s="12">
        <v>0</v>
      </c>
      <c r="J10" s="12">
        <v>30</v>
      </c>
      <c r="K10" s="12">
        <v>4</v>
      </c>
      <c r="L10" s="12">
        <v>1</v>
      </c>
      <c r="M10" s="12">
        <v>1</v>
      </c>
      <c r="N10" s="12">
        <v>0</v>
      </c>
      <c r="O10" s="12">
        <v>0</v>
      </c>
      <c r="P10" s="12">
        <v>0</v>
      </c>
      <c r="Q10" s="12">
        <v>11</v>
      </c>
      <c r="R10" s="12">
        <v>0</v>
      </c>
      <c r="S10" s="12">
        <v>0</v>
      </c>
      <c r="T10" s="12">
        <v>0</v>
      </c>
      <c r="U10" s="12">
        <v>0</v>
      </c>
    </row>
    <row r="11" spans="1:22" ht="18" customHeight="1" x14ac:dyDescent="0.35">
      <c r="A11" s="20" t="s">
        <v>8</v>
      </c>
      <c r="B11" s="17">
        <v>3</v>
      </c>
      <c r="C11" s="12">
        <v>62</v>
      </c>
      <c r="D11" s="12">
        <v>6</v>
      </c>
      <c r="E11" s="12">
        <v>6</v>
      </c>
      <c r="F11" s="12">
        <v>6</v>
      </c>
      <c r="G11" s="12">
        <v>165</v>
      </c>
      <c r="H11" s="12">
        <v>165</v>
      </c>
      <c r="I11" s="12">
        <v>0</v>
      </c>
      <c r="J11" s="12">
        <v>30</v>
      </c>
      <c r="K11" s="12">
        <v>4</v>
      </c>
      <c r="L11" s="12">
        <v>0</v>
      </c>
      <c r="M11" s="12">
        <v>0</v>
      </c>
      <c r="N11" s="12">
        <v>62</v>
      </c>
      <c r="O11" s="12">
        <v>0</v>
      </c>
      <c r="P11" s="12">
        <v>0</v>
      </c>
      <c r="Q11" s="12">
        <v>11</v>
      </c>
      <c r="R11" s="12">
        <v>0</v>
      </c>
      <c r="S11" s="12">
        <v>0</v>
      </c>
      <c r="T11" s="12">
        <v>0</v>
      </c>
      <c r="U11" s="12">
        <v>0</v>
      </c>
    </row>
    <row r="12" spans="1:22" ht="18" customHeight="1" x14ac:dyDescent="0.35">
      <c r="A12" s="20" t="s">
        <v>9</v>
      </c>
      <c r="B12" s="17">
        <v>3</v>
      </c>
      <c r="C12" s="12">
        <v>62</v>
      </c>
      <c r="D12" s="12">
        <v>6</v>
      </c>
      <c r="E12" s="12">
        <v>6</v>
      </c>
      <c r="F12" s="12">
        <v>6</v>
      </c>
      <c r="G12" s="12">
        <v>165</v>
      </c>
      <c r="H12" s="12">
        <v>165</v>
      </c>
      <c r="I12" s="12">
        <v>0</v>
      </c>
      <c r="J12" s="12">
        <v>30</v>
      </c>
      <c r="K12" s="12">
        <v>4</v>
      </c>
      <c r="L12" s="12">
        <v>0</v>
      </c>
      <c r="M12" s="12">
        <v>0</v>
      </c>
      <c r="N12" s="12">
        <v>28</v>
      </c>
      <c r="O12" s="12">
        <v>0</v>
      </c>
      <c r="P12" s="12">
        <v>0</v>
      </c>
      <c r="Q12" s="12">
        <v>11</v>
      </c>
      <c r="R12" s="12">
        <v>0</v>
      </c>
      <c r="S12" s="12">
        <v>0</v>
      </c>
      <c r="T12" s="12">
        <v>0</v>
      </c>
      <c r="U12" s="12">
        <v>0</v>
      </c>
    </row>
    <row r="13" spans="1:22" ht="18" customHeight="1" x14ac:dyDescent="0.35">
      <c r="A13" s="20" t="s">
        <v>10</v>
      </c>
      <c r="B13" s="17">
        <v>3</v>
      </c>
      <c r="C13" s="12">
        <v>62</v>
      </c>
      <c r="D13" s="12">
        <v>6</v>
      </c>
      <c r="E13" s="12">
        <v>6</v>
      </c>
      <c r="F13" s="12">
        <v>6</v>
      </c>
      <c r="G13" s="12">
        <v>170</v>
      </c>
      <c r="H13" s="12">
        <v>165</v>
      </c>
      <c r="I13" s="12">
        <v>170</v>
      </c>
      <c r="J13" s="12">
        <v>30</v>
      </c>
      <c r="K13" s="12">
        <v>4</v>
      </c>
      <c r="L13" s="12">
        <v>0</v>
      </c>
      <c r="M13" s="12">
        <v>0</v>
      </c>
      <c r="N13" s="12">
        <v>43</v>
      </c>
      <c r="O13" s="12">
        <v>7</v>
      </c>
      <c r="P13" s="12">
        <v>7</v>
      </c>
      <c r="Q13" s="12">
        <v>11</v>
      </c>
      <c r="R13" s="12">
        <v>0</v>
      </c>
      <c r="S13" s="12">
        <v>0</v>
      </c>
      <c r="T13" s="12">
        <v>0</v>
      </c>
      <c r="U13" s="12">
        <v>0</v>
      </c>
    </row>
    <row r="14" spans="1:22" ht="18" customHeight="1" x14ac:dyDescent="0.35">
      <c r="A14" s="20" t="s">
        <v>11</v>
      </c>
      <c r="B14" s="17">
        <v>3</v>
      </c>
      <c r="C14" s="12">
        <v>65</v>
      </c>
      <c r="D14" s="12">
        <v>6</v>
      </c>
      <c r="E14" s="12">
        <v>6</v>
      </c>
      <c r="F14" s="12">
        <v>6</v>
      </c>
      <c r="G14" s="12">
        <v>170</v>
      </c>
      <c r="H14" s="12">
        <v>165</v>
      </c>
      <c r="I14" s="12">
        <v>170</v>
      </c>
      <c r="J14" s="12">
        <v>30</v>
      </c>
      <c r="K14" s="12">
        <v>4</v>
      </c>
      <c r="L14" s="12">
        <v>0</v>
      </c>
      <c r="M14" s="12">
        <v>0</v>
      </c>
      <c r="N14" s="12">
        <v>44</v>
      </c>
      <c r="O14" s="12">
        <v>0</v>
      </c>
      <c r="P14" s="12">
        <v>0</v>
      </c>
      <c r="Q14" s="12">
        <v>11</v>
      </c>
      <c r="R14" s="12">
        <v>0</v>
      </c>
      <c r="S14" s="12">
        <v>0</v>
      </c>
      <c r="T14" s="12">
        <v>0</v>
      </c>
      <c r="U14" s="12">
        <v>0</v>
      </c>
    </row>
    <row r="15" spans="1:22" ht="18" customHeight="1" x14ac:dyDescent="0.35">
      <c r="A15" s="20" t="s">
        <v>12</v>
      </c>
      <c r="B15" s="17">
        <v>23</v>
      </c>
      <c r="C15" s="12">
        <v>65</v>
      </c>
      <c r="D15" s="12">
        <v>6</v>
      </c>
      <c r="E15" s="12">
        <v>6</v>
      </c>
      <c r="F15" s="12">
        <v>6</v>
      </c>
      <c r="G15" s="12">
        <v>170</v>
      </c>
      <c r="H15" s="12">
        <v>165</v>
      </c>
      <c r="I15" s="12">
        <v>170</v>
      </c>
      <c r="J15" s="12">
        <v>30</v>
      </c>
      <c r="K15" s="12">
        <v>4</v>
      </c>
      <c r="L15" s="12">
        <v>0</v>
      </c>
      <c r="M15" s="12">
        <v>0</v>
      </c>
      <c r="N15" s="12">
        <v>28</v>
      </c>
      <c r="O15" s="12">
        <v>163</v>
      </c>
      <c r="P15" s="12">
        <v>0</v>
      </c>
      <c r="Q15" s="12">
        <v>11</v>
      </c>
      <c r="R15" s="12">
        <v>0</v>
      </c>
      <c r="S15" s="12">
        <v>0</v>
      </c>
      <c r="T15" s="12">
        <v>0</v>
      </c>
      <c r="U15" s="12">
        <v>0</v>
      </c>
    </row>
    <row r="16" spans="1:22" ht="18" customHeight="1" x14ac:dyDescent="0.35">
      <c r="A16" s="20" t="s">
        <v>13</v>
      </c>
      <c r="B16" s="17">
        <v>35</v>
      </c>
      <c r="C16" s="12">
        <v>65</v>
      </c>
      <c r="D16" s="12">
        <v>6</v>
      </c>
      <c r="E16" s="12">
        <v>6</v>
      </c>
      <c r="F16" s="12">
        <v>6</v>
      </c>
      <c r="G16" s="12">
        <v>176</v>
      </c>
      <c r="H16" s="12">
        <v>165</v>
      </c>
      <c r="I16" s="12">
        <v>176</v>
      </c>
      <c r="J16" s="12">
        <v>30</v>
      </c>
      <c r="K16" s="12">
        <v>4</v>
      </c>
      <c r="L16" s="12">
        <v>0</v>
      </c>
      <c r="M16" s="12">
        <v>0</v>
      </c>
      <c r="N16" s="12">
        <v>22</v>
      </c>
      <c r="O16" s="12">
        <v>163</v>
      </c>
      <c r="P16" s="12">
        <v>0</v>
      </c>
      <c r="Q16" s="12">
        <v>11</v>
      </c>
      <c r="R16" s="12">
        <v>0</v>
      </c>
      <c r="S16" s="12">
        <v>0</v>
      </c>
      <c r="T16" s="12">
        <v>0</v>
      </c>
      <c r="U16" s="12">
        <v>0</v>
      </c>
    </row>
    <row r="17" spans="1:21" ht="18" customHeight="1" x14ac:dyDescent="0.35">
      <c r="A17" s="20" t="s">
        <v>14</v>
      </c>
      <c r="B17" s="17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AED7-DCB7-4F62-9CBF-4EA860B5C0E1}">
  <sheetPr codeName="Feuil9"/>
  <dimension ref="A1:V54"/>
  <sheetViews>
    <sheetView topLeftCell="A44"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191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2" ht="18" customHeight="1" x14ac:dyDescent="0.35">
      <c r="A4" s="20" t="s">
        <v>1</v>
      </c>
      <c r="B4" s="17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8" customHeight="1" x14ac:dyDescent="0.35">
      <c r="A5" s="20" t="s">
        <v>2</v>
      </c>
      <c r="B5" s="17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8" customHeight="1" x14ac:dyDescent="0.35">
      <c r="A6" s="20" t="s">
        <v>3</v>
      </c>
      <c r="B6" s="17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8" customHeight="1" x14ac:dyDescent="0.35">
      <c r="A7" s="20" t="s">
        <v>4</v>
      </c>
      <c r="B7" s="1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8" customHeight="1" x14ac:dyDescent="0.35">
      <c r="A8" s="20" t="s">
        <v>5</v>
      </c>
      <c r="B8" s="1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8" customHeight="1" x14ac:dyDescent="0.35">
      <c r="A9" s="20" t="s">
        <v>6</v>
      </c>
      <c r="B9" s="17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8" customHeight="1" x14ac:dyDescent="0.35">
      <c r="A10" s="20" t="s">
        <v>7</v>
      </c>
      <c r="B10" s="17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ht="18" customHeight="1" x14ac:dyDescent="0.35">
      <c r="A11" s="20" t="s">
        <v>8</v>
      </c>
      <c r="B11" s="17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8" customHeight="1" x14ac:dyDescent="0.35">
      <c r="A12" s="20" t="s">
        <v>9</v>
      </c>
      <c r="B12" s="17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ht="18" customHeight="1" x14ac:dyDescent="0.35">
      <c r="A13" s="20" t="s">
        <v>10</v>
      </c>
      <c r="B13" s="17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8" customHeight="1" x14ac:dyDescent="0.35">
      <c r="A14" s="20" t="s">
        <v>11</v>
      </c>
      <c r="B14" s="17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ht="18" customHeight="1" x14ac:dyDescent="0.35">
      <c r="A15" s="20" t="s">
        <v>12</v>
      </c>
      <c r="B15" s="17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8" customHeight="1" x14ac:dyDescent="0.35">
      <c r="A16" s="20" t="s">
        <v>13</v>
      </c>
      <c r="B16" s="17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" customHeight="1" x14ac:dyDescent="0.35">
      <c r="A17" s="20" t="s">
        <v>14</v>
      </c>
      <c r="B17" s="17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" customHeight="1" x14ac:dyDescent="0.35">
      <c r="A18" s="20" t="s">
        <v>15</v>
      </c>
      <c r="B18" s="17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" customHeight="1" x14ac:dyDescent="0.35">
      <c r="A19" s="20" t="s">
        <v>16</v>
      </c>
      <c r="B19" s="1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" customHeight="1" x14ac:dyDescent="0.35">
      <c r="A20" s="20" t="s">
        <v>17</v>
      </c>
      <c r="B20" s="1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" customHeight="1" x14ac:dyDescent="0.35">
      <c r="A21" s="20" t="s">
        <v>18</v>
      </c>
      <c r="B21" s="17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" customHeight="1" x14ac:dyDescent="0.35">
      <c r="A22" s="20" t="s">
        <v>19</v>
      </c>
      <c r="B22" s="17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321C1-42B6-4D6A-B477-25C92E493E09}">
  <sheetPr codeName="Feuil10"/>
  <dimension ref="A1:V54"/>
  <sheetViews>
    <sheetView topLeftCell="A46" workbookViewId="0">
      <selection sqref="A1:V1"/>
    </sheetView>
  </sheetViews>
  <sheetFormatPr baseColWidth="10" defaultRowHeight="14.5" x14ac:dyDescent="0.35"/>
  <cols>
    <col min="1" max="1" width="12.6328125" customWidth="1"/>
    <col min="2" max="21" width="13.6328125" customWidth="1"/>
  </cols>
  <sheetData>
    <row r="1" spans="1:22" ht="25" customHeight="1" x14ac:dyDescent="0.35">
      <c r="A1" s="239" t="s">
        <v>192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</row>
    <row r="2" spans="1:22" ht="60" customHeight="1" thickBot="1" x14ac:dyDescent="0.4">
      <c r="A2" s="141" t="s">
        <v>73</v>
      </c>
      <c r="B2" s="15" t="s">
        <v>166</v>
      </c>
      <c r="C2" s="14" t="s">
        <v>167</v>
      </c>
      <c r="D2" s="14" t="s">
        <v>168</v>
      </c>
      <c r="E2" s="14" t="s">
        <v>169</v>
      </c>
      <c r="F2" s="14" t="s">
        <v>170</v>
      </c>
      <c r="G2" s="14" t="s">
        <v>171</v>
      </c>
      <c r="H2" s="14" t="s">
        <v>172</v>
      </c>
      <c r="I2" s="14" t="s">
        <v>173</v>
      </c>
      <c r="J2" s="14" t="s">
        <v>174</v>
      </c>
      <c r="K2" s="14" t="s">
        <v>143</v>
      </c>
      <c r="L2" s="14" t="s">
        <v>175</v>
      </c>
      <c r="M2" s="14" t="s">
        <v>176</v>
      </c>
      <c r="N2" s="14" t="s">
        <v>177</v>
      </c>
      <c r="O2" s="14" t="s">
        <v>178</v>
      </c>
      <c r="P2" s="14" t="s">
        <v>179</v>
      </c>
      <c r="Q2" s="14" t="s">
        <v>180</v>
      </c>
      <c r="R2" s="14" t="s">
        <v>181</v>
      </c>
      <c r="S2" s="14" t="s">
        <v>182</v>
      </c>
      <c r="T2" s="14" t="s">
        <v>183</v>
      </c>
      <c r="U2" s="14" t="s">
        <v>184</v>
      </c>
    </row>
    <row r="3" spans="1:22" ht="18" customHeight="1" x14ac:dyDescent="0.35">
      <c r="A3" s="19" t="s">
        <v>0</v>
      </c>
      <c r="B3" s="16">
        <v>76</v>
      </c>
      <c r="C3" s="13">
        <v>113</v>
      </c>
      <c r="D3" s="13">
        <v>9</v>
      </c>
      <c r="E3" s="13">
        <v>10</v>
      </c>
      <c r="F3" s="13">
        <v>4</v>
      </c>
      <c r="G3" s="13">
        <v>93</v>
      </c>
      <c r="H3" s="13">
        <v>11</v>
      </c>
      <c r="I3" s="13">
        <v>19</v>
      </c>
      <c r="J3" s="13">
        <v>13</v>
      </c>
      <c r="K3" s="13">
        <v>4</v>
      </c>
      <c r="L3" s="13">
        <v>24</v>
      </c>
      <c r="M3" s="13">
        <v>28</v>
      </c>
      <c r="N3" s="13">
        <v>15</v>
      </c>
      <c r="O3" s="13">
        <v>26</v>
      </c>
      <c r="P3" s="13">
        <v>3</v>
      </c>
      <c r="Q3" s="13">
        <v>23</v>
      </c>
      <c r="R3" s="13">
        <v>33</v>
      </c>
      <c r="S3" s="13">
        <v>63</v>
      </c>
      <c r="T3" s="13">
        <v>9</v>
      </c>
      <c r="U3" s="13">
        <v>3</v>
      </c>
    </row>
    <row r="4" spans="1:22" ht="18" customHeight="1" x14ac:dyDescent="0.35">
      <c r="A4" s="20" t="s">
        <v>1</v>
      </c>
      <c r="B4" s="17">
        <v>73</v>
      </c>
      <c r="C4" s="12">
        <v>130</v>
      </c>
      <c r="D4" s="12">
        <v>9</v>
      </c>
      <c r="E4" s="12">
        <v>12</v>
      </c>
      <c r="F4" s="12">
        <v>4</v>
      </c>
      <c r="G4" s="12">
        <v>99</v>
      </c>
      <c r="H4" s="12">
        <v>14</v>
      </c>
      <c r="I4" s="12">
        <v>19</v>
      </c>
      <c r="J4" s="12">
        <v>8</v>
      </c>
      <c r="K4" s="12">
        <v>0</v>
      </c>
      <c r="L4" s="12">
        <v>19</v>
      </c>
      <c r="M4" s="12">
        <v>17</v>
      </c>
      <c r="N4" s="12">
        <v>15</v>
      </c>
      <c r="O4" s="12">
        <v>30</v>
      </c>
      <c r="P4" s="12">
        <v>1</v>
      </c>
      <c r="Q4" s="12">
        <v>18</v>
      </c>
      <c r="R4" s="12">
        <v>41</v>
      </c>
      <c r="S4" s="12">
        <v>75</v>
      </c>
      <c r="T4" s="12">
        <v>0</v>
      </c>
      <c r="U4" s="12">
        <v>5</v>
      </c>
    </row>
    <row r="5" spans="1:22" ht="18" customHeight="1" x14ac:dyDescent="0.35">
      <c r="A5" s="20" t="s">
        <v>2</v>
      </c>
      <c r="B5" s="17">
        <v>74</v>
      </c>
      <c r="C5" s="12">
        <v>118</v>
      </c>
      <c r="D5" s="12">
        <v>6</v>
      </c>
      <c r="E5" s="12">
        <v>10</v>
      </c>
      <c r="F5" s="12">
        <v>3</v>
      </c>
      <c r="G5" s="12">
        <v>101</v>
      </c>
      <c r="H5" s="12">
        <v>11</v>
      </c>
      <c r="I5" s="12">
        <v>16</v>
      </c>
      <c r="J5" s="12">
        <v>11</v>
      </c>
      <c r="K5" s="12">
        <v>8</v>
      </c>
      <c r="L5" s="12">
        <v>12</v>
      </c>
      <c r="M5" s="12">
        <v>22</v>
      </c>
      <c r="N5" s="12">
        <v>15</v>
      </c>
      <c r="O5" s="12">
        <v>22</v>
      </c>
      <c r="P5" s="12">
        <v>1</v>
      </c>
      <c r="Q5" s="12">
        <v>22</v>
      </c>
      <c r="R5" s="12">
        <v>56</v>
      </c>
      <c r="S5" s="12">
        <v>65</v>
      </c>
      <c r="T5" s="12">
        <v>3</v>
      </c>
      <c r="U5" s="12">
        <v>5</v>
      </c>
    </row>
    <row r="6" spans="1:22" ht="18" customHeight="1" x14ac:dyDescent="0.35">
      <c r="A6" s="20" t="s">
        <v>3</v>
      </c>
      <c r="B6" s="17">
        <v>84</v>
      </c>
      <c r="C6" s="12">
        <v>118</v>
      </c>
      <c r="D6" s="12">
        <v>6</v>
      </c>
      <c r="E6" s="12">
        <v>11</v>
      </c>
      <c r="F6" s="12">
        <v>3</v>
      </c>
      <c r="G6" s="12">
        <v>133</v>
      </c>
      <c r="H6" s="12">
        <v>8</v>
      </c>
      <c r="I6" s="12">
        <v>16</v>
      </c>
      <c r="J6" s="12">
        <v>19</v>
      </c>
      <c r="K6" s="12">
        <v>3</v>
      </c>
      <c r="L6" s="12">
        <v>15</v>
      </c>
      <c r="M6" s="12">
        <v>22</v>
      </c>
      <c r="N6" s="12">
        <v>16</v>
      </c>
      <c r="O6" s="12">
        <v>28</v>
      </c>
      <c r="P6" s="12">
        <v>1</v>
      </c>
      <c r="Q6" s="12">
        <v>13</v>
      </c>
      <c r="R6" s="12">
        <v>61</v>
      </c>
      <c r="S6" s="12">
        <v>45</v>
      </c>
      <c r="T6" s="12">
        <v>0</v>
      </c>
      <c r="U6" s="12">
        <v>4</v>
      </c>
    </row>
    <row r="7" spans="1:22" ht="18" customHeight="1" x14ac:dyDescent="0.35">
      <c r="A7" s="20" t="s">
        <v>4</v>
      </c>
      <c r="B7" s="17">
        <v>96</v>
      </c>
      <c r="C7" s="12">
        <v>107</v>
      </c>
      <c r="D7" s="12">
        <v>6</v>
      </c>
      <c r="E7" s="12">
        <v>12</v>
      </c>
      <c r="F7" s="12">
        <v>4</v>
      </c>
      <c r="G7" s="12">
        <v>133</v>
      </c>
      <c r="H7" s="12">
        <v>13</v>
      </c>
      <c r="I7" s="12">
        <v>16</v>
      </c>
      <c r="J7" s="12">
        <v>16</v>
      </c>
      <c r="K7" s="12">
        <v>5</v>
      </c>
      <c r="L7" s="12">
        <v>20</v>
      </c>
      <c r="M7" s="12">
        <v>28</v>
      </c>
      <c r="N7" s="12">
        <v>14</v>
      </c>
      <c r="O7" s="12">
        <v>23</v>
      </c>
      <c r="P7" s="12">
        <v>7</v>
      </c>
      <c r="Q7" s="12">
        <v>15</v>
      </c>
      <c r="R7" s="12">
        <v>44</v>
      </c>
      <c r="S7" s="12">
        <v>58</v>
      </c>
      <c r="T7" s="12">
        <v>2</v>
      </c>
      <c r="U7" s="12">
        <v>3</v>
      </c>
    </row>
    <row r="8" spans="1:22" ht="18" customHeight="1" x14ac:dyDescent="0.35">
      <c r="A8" s="20" t="s">
        <v>5</v>
      </c>
      <c r="B8" s="17">
        <v>75</v>
      </c>
      <c r="C8" s="12">
        <v>115</v>
      </c>
      <c r="D8" s="12">
        <v>6</v>
      </c>
      <c r="E8" s="12">
        <v>12</v>
      </c>
      <c r="F8" s="12">
        <v>3</v>
      </c>
      <c r="G8" s="12">
        <v>109</v>
      </c>
      <c r="H8" s="12">
        <v>11</v>
      </c>
      <c r="I8" s="12">
        <v>17</v>
      </c>
      <c r="J8" s="12">
        <v>11</v>
      </c>
      <c r="K8" s="12">
        <v>2</v>
      </c>
      <c r="L8" s="12">
        <v>24</v>
      </c>
      <c r="M8" s="12">
        <v>24</v>
      </c>
      <c r="N8" s="12">
        <v>17</v>
      </c>
      <c r="O8" s="12">
        <v>20</v>
      </c>
      <c r="P8" s="12">
        <v>8</v>
      </c>
      <c r="Q8" s="12">
        <v>18</v>
      </c>
      <c r="R8" s="12">
        <v>62</v>
      </c>
      <c r="S8" s="12">
        <v>60</v>
      </c>
      <c r="T8" s="12">
        <v>4</v>
      </c>
      <c r="U8" s="12">
        <v>1</v>
      </c>
    </row>
    <row r="9" spans="1:22" ht="18" customHeight="1" x14ac:dyDescent="0.35">
      <c r="A9" s="20" t="s">
        <v>6</v>
      </c>
      <c r="B9" s="17">
        <v>71</v>
      </c>
      <c r="C9" s="12">
        <v>110</v>
      </c>
      <c r="D9" s="12">
        <v>8</v>
      </c>
      <c r="E9" s="12">
        <v>11</v>
      </c>
      <c r="F9" s="12">
        <v>2</v>
      </c>
      <c r="G9" s="12">
        <v>139</v>
      </c>
      <c r="H9" s="12">
        <v>10</v>
      </c>
      <c r="I9" s="12">
        <v>18</v>
      </c>
      <c r="J9" s="12">
        <v>17</v>
      </c>
      <c r="K9" s="12">
        <v>7</v>
      </c>
      <c r="L9" s="12">
        <v>16</v>
      </c>
      <c r="M9" s="12">
        <v>20</v>
      </c>
      <c r="N9" s="12">
        <v>10</v>
      </c>
      <c r="O9" s="12">
        <v>34</v>
      </c>
      <c r="P9" s="12">
        <v>9</v>
      </c>
      <c r="Q9" s="12">
        <v>24</v>
      </c>
      <c r="R9" s="12">
        <v>61</v>
      </c>
      <c r="S9" s="12">
        <v>46</v>
      </c>
      <c r="T9" s="12">
        <v>7</v>
      </c>
      <c r="U9" s="12">
        <v>0</v>
      </c>
    </row>
    <row r="10" spans="1:22" ht="18" customHeight="1" x14ac:dyDescent="0.35">
      <c r="A10" s="20" t="s">
        <v>7</v>
      </c>
      <c r="B10" s="17">
        <v>100</v>
      </c>
      <c r="C10" s="12">
        <v>98</v>
      </c>
      <c r="D10" s="12">
        <v>7</v>
      </c>
      <c r="E10" s="12">
        <v>11</v>
      </c>
      <c r="F10" s="12">
        <v>4</v>
      </c>
      <c r="G10" s="12">
        <v>87</v>
      </c>
      <c r="H10" s="12">
        <v>13</v>
      </c>
      <c r="I10" s="12">
        <v>19</v>
      </c>
      <c r="J10" s="12">
        <v>15</v>
      </c>
      <c r="K10" s="12">
        <v>0</v>
      </c>
      <c r="L10" s="12">
        <v>24</v>
      </c>
      <c r="M10" s="12">
        <v>32</v>
      </c>
      <c r="N10" s="12">
        <v>11</v>
      </c>
      <c r="O10" s="12">
        <v>19</v>
      </c>
      <c r="P10" s="12">
        <v>7</v>
      </c>
      <c r="Q10" s="12">
        <v>10</v>
      </c>
      <c r="R10" s="12">
        <v>45</v>
      </c>
      <c r="S10" s="12">
        <v>50</v>
      </c>
      <c r="T10" s="12">
        <v>8</v>
      </c>
      <c r="U10" s="12">
        <v>5</v>
      </c>
    </row>
    <row r="11" spans="1:22" ht="18" customHeight="1" x14ac:dyDescent="0.35">
      <c r="A11" s="20" t="s">
        <v>8</v>
      </c>
      <c r="B11" s="17">
        <v>102</v>
      </c>
      <c r="C11" s="12">
        <v>132</v>
      </c>
      <c r="D11" s="12">
        <v>9</v>
      </c>
      <c r="E11" s="12">
        <v>11</v>
      </c>
      <c r="F11" s="12">
        <v>4</v>
      </c>
      <c r="G11" s="12">
        <v>151</v>
      </c>
      <c r="H11" s="12">
        <v>14</v>
      </c>
      <c r="I11" s="12">
        <v>15</v>
      </c>
      <c r="J11" s="12">
        <v>11</v>
      </c>
      <c r="K11" s="12">
        <v>5</v>
      </c>
      <c r="L11" s="12">
        <v>22</v>
      </c>
      <c r="M11" s="12">
        <v>22</v>
      </c>
      <c r="N11" s="12">
        <v>11</v>
      </c>
      <c r="O11" s="12">
        <v>26</v>
      </c>
      <c r="P11" s="12">
        <v>3</v>
      </c>
      <c r="Q11" s="12">
        <v>23</v>
      </c>
      <c r="R11" s="12">
        <v>47</v>
      </c>
      <c r="S11" s="12">
        <v>60</v>
      </c>
      <c r="T11" s="12">
        <v>4</v>
      </c>
      <c r="U11" s="12">
        <v>6</v>
      </c>
    </row>
    <row r="12" spans="1:22" ht="18" customHeight="1" x14ac:dyDescent="0.35">
      <c r="A12" s="20" t="s">
        <v>9</v>
      </c>
      <c r="B12" s="17">
        <v>104</v>
      </c>
      <c r="C12" s="12">
        <v>134</v>
      </c>
      <c r="D12" s="12">
        <v>8</v>
      </c>
      <c r="E12" s="12">
        <v>12</v>
      </c>
      <c r="F12" s="12">
        <v>4</v>
      </c>
      <c r="G12" s="12">
        <v>133</v>
      </c>
      <c r="H12" s="12">
        <v>8</v>
      </c>
      <c r="I12" s="12">
        <v>18</v>
      </c>
      <c r="J12" s="12">
        <v>9</v>
      </c>
      <c r="K12" s="12">
        <v>2</v>
      </c>
      <c r="L12" s="12">
        <v>26</v>
      </c>
      <c r="M12" s="12">
        <v>22</v>
      </c>
      <c r="N12" s="12">
        <v>9</v>
      </c>
      <c r="O12" s="12">
        <v>29</v>
      </c>
      <c r="P12" s="12">
        <v>8</v>
      </c>
      <c r="Q12" s="12">
        <v>15</v>
      </c>
      <c r="R12" s="12">
        <v>66</v>
      </c>
      <c r="S12" s="12">
        <v>35</v>
      </c>
      <c r="T12" s="12">
        <v>7</v>
      </c>
      <c r="U12" s="12">
        <v>6</v>
      </c>
    </row>
    <row r="13" spans="1:22" ht="18" customHeight="1" x14ac:dyDescent="0.35">
      <c r="A13" s="20" t="s">
        <v>10</v>
      </c>
      <c r="B13" s="17">
        <v>67</v>
      </c>
      <c r="C13" s="12">
        <v>132</v>
      </c>
      <c r="D13" s="12">
        <v>9</v>
      </c>
      <c r="E13" s="12">
        <v>12</v>
      </c>
      <c r="F13" s="12">
        <v>3</v>
      </c>
      <c r="G13" s="12">
        <v>135</v>
      </c>
      <c r="H13" s="12">
        <v>13</v>
      </c>
      <c r="I13" s="12">
        <v>17</v>
      </c>
      <c r="J13" s="12">
        <v>8</v>
      </c>
      <c r="K13" s="12">
        <v>7</v>
      </c>
      <c r="L13" s="12">
        <v>25</v>
      </c>
      <c r="M13" s="12">
        <v>23</v>
      </c>
      <c r="N13" s="12">
        <v>16</v>
      </c>
      <c r="O13" s="12">
        <v>29</v>
      </c>
      <c r="P13" s="12">
        <v>3</v>
      </c>
      <c r="Q13" s="12">
        <v>23</v>
      </c>
      <c r="R13" s="12">
        <v>56</v>
      </c>
      <c r="S13" s="12">
        <v>40</v>
      </c>
      <c r="T13" s="12">
        <v>6</v>
      </c>
      <c r="U13" s="12">
        <v>0</v>
      </c>
    </row>
    <row r="14" spans="1:22" ht="18" customHeight="1" x14ac:dyDescent="0.35">
      <c r="A14" s="20" t="s">
        <v>11</v>
      </c>
      <c r="B14" s="17">
        <v>72</v>
      </c>
      <c r="C14" s="12">
        <v>107</v>
      </c>
      <c r="D14" s="12">
        <v>7</v>
      </c>
      <c r="E14" s="12">
        <v>12</v>
      </c>
      <c r="F14" s="12">
        <v>4</v>
      </c>
      <c r="G14" s="12">
        <v>174</v>
      </c>
      <c r="H14" s="12">
        <v>12</v>
      </c>
      <c r="I14" s="12">
        <v>19</v>
      </c>
      <c r="J14" s="12">
        <v>15</v>
      </c>
      <c r="K14" s="12">
        <v>4</v>
      </c>
      <c r="L14" s="12">
        <v>15</v>
      </c>
      <c r="M14" s="12">
        <v>30</v>
      </c>
      <c r="N14" s="12">
        <v>16</v>
      </c>
      <c r="O14" s="12">
        <v>15</v>
      </c>
      <c r="P14" s="12">
        <v>9</v>
      </c>
      <c r="Q14" s="12">
        <v>23</v>
      </c>
      <c r="R14" s="12">
        <v>53</v>
      </c>
      <c r="S14" s="12">
        <v>48</v>
      </c>
      <c r="T14" s="12">
        <v>4</v>
      </c>
      <c r="U14" s="12">
        <v>5</v>
      </c>
    </row>
    <row r="15" spans="1:22" ht="18" customHeight="1" x14ac:dyDescent="0.35">
      <c r="A15" s="20" t="s">
        <v>12</v>
      </c>
      <c r="B15" s="17">
        <v>104</v>
      </c>
      <c r="C15" s="12">
        <v>101</v>
      </c>
      <c r="D15" s="12">
        <v>7</v>
      </c>
      <c r="E15" s="12">
        <v>11</v>
      </c>
      <c r="F15" s="12">
        <v>4</v>
      </c>
      <c r="G15" s="12">
        <v>137</v>
      </c>
      <c r="H15" s="12">
        <v>8</v>
      </c>
      <c r="I15" s="12">
        <v>15</v>
      </c>
      <c r="J15" s="12">
        <v>17</v>
      </c>
      <c r="K15" s="12">
        <v>0</v>
      </c>
      <c r="L15" s="12">
        <v>27</v>
      </c>
      <c r="M15" s="12">
        <v>28</v>
      </c>
      <c r="N15" s="12">
        <v>11</v>
      </c>
      <c r="O15" s="12">
        <v>17</v>
      </c>
      <c r="P15" s="12">
        <v>2</v>
      </c>
      <c r="Q15" s="12">
        <v>18</v>
      </c>
      <c r="R15" s="12">
        <v>62</v>
      </c>
      <c r="S15" s="12">
        <v>49</v>
      </c>
      <c r="T15" s="12">
        <v>8</v>
      </c>
      <c r="U15" s="12">
        <v>6</v>
      </c>
    </row>
    <row r="16" spans="1:22" ht="18" customHeight="1" x14ac:dyDescent="0.35">
      <c r="A16" s="20" t="s">
        <v>13</v>
      </c>
      <c r="B16" s="17">
        <v>87</v>
      </c>
      <c r="C16" s="12">
        <v>92</v>
      </c>
      <c r="D16" s="12">
        <v>6</v>
      </c>
      <c r="E16" s="12">
        <v>11</v>
      </c>
      <c r="F16" s="12">
        <v>3</v>
      </c>
      <c r="G16" s="12">
        <v>143</v>
      </c>
      <c r="H16" s="12">
        <v>11</v>
      </c>
      <c r="I16" s="12">
        <v>17</v>
      </c>
      <c r="J16" s="12">
        <v>13</v>
      </c>
      <c r="K16" s="12">
        <v>3</v>
      </c>
      <c r="L16" s="12">
        <v>28</v>
      </c>
      <c r="M16" s="12">
        <v>21</v>
      </c>
      <c r="N16" s="12">
        <v>13</v>
      </c>
      <c r="O16" s="12">
        <v>34</v>
      </c>
      <c r="P16" s="12">
        <v>8</v>
      </c>
      <c r="Q16" s="12">
        <v>15</v>
      </c>
      <c r="R16" s="12">
        <v>33</v>
      </c>
      <c r="S16" s="12">
        <v>67</v>
      </c>
      <c r="T16" s="12">
        <v>8</v>
      </c>
      <c r="U16" s="12">
        <v>2</v>
      </c>
    </row>
    <row r="17" spans="1:21" ht="18" customHeight="1" x14ac:dyDescent="0.35">
      <c r="A17" s="20" t="s">
        <v>14</v>
      </c>
      <c r="B17" s="17">
        <v>79</v>
      </c>
      <c r="C17" s="12">
        <v>131</v>
      </c>
      <c r="D17" s="12">
        <v>8</v>
      </c>
      <c r="E17" s="12">
        <v>10</v>
      </c>
      <c r="F17" s="12">
        <v>4</v>
      </c>
      <c r="G17" s="12">
        <v>140</v>
      </c>
      <c r="H17" s="12">
        <v>8</v>
      </c>
      <c r="I17" s="12">
        <v>16</v>
      </c>
      <c r="J17" s="12">
        <v>10</v>
      </c>
      <c r="K17" s="12">
        <v>8</v>
      </c>
      <c r="L17" s="12">
        <v>16</v>
      </c>
      <c r="M17" s="12">
        <v>28</v>
      </c>
      <c r="N17" s="12">
        <v>16</v>
      </c>
      <c r="O17" s="12">
        <v>21</v>
      </c>
      <c r="P17" s="12">
        <v>8</v>
      </c>
      <c r="Q17" s="12">
        <v>13</v>
      </c>
      <c r="R17" s="12">
        <v>66</v>
      </c>
      <c r="S17" s="12">
        <v>56</v>
      </c>
      <c r="T17" s="12">
        <v>3</v>
      </c>
      <c r="U17" s="12">
        <v>4</v>
      </c>
    </row>
    <row r="18" spans="1:21" ht="18" customHeight="1" x14ac:dyDescent="0.35">
      <c r="A18" s="20" t="s">
        <v>15</v>
      </c>
      <c r="B18" s="17">
        <v>103</v>
      </c>
      <c r="C18" s="12">
        <v>134</v>
      </c>
      <c r="D18" s="12">
        <v>7</v>
      </c>
      <c r="E18" s="12">
        <v>11</v>
      </c>
      <c r="F18" s="12">
        <v>2</v>
      </c>
      <c r="G18" s="12">
        <v>129</v>
      </c>
      <c r="H18" s="12">
        <v>14</v>
      </c>
      <c r="I18" s="12">
        <v>19</v>
      </c>
      <c r="J18" s="12">
        <v>18</v>
      </c>
      <c r="K18" s="12">
        <v>5</v>
      </c>
      <c r="L18" s="12">
        <v>27</v>
      </c>
      <c r="M18" s="12">
        <v>18</v>
      </c>
      <c r="N18" s="12">
        <v>16</v>
      </c>
      <c r="O18" s="12">
        <v>24</v>
      </c>
      <c r="P18" s="12">
        <v>3</v>
      </c>
      <c r="Q18" s="12">
        <v>24</v>
      </c>
      <c r="R18" s="12">
        <v>28</v>
      </c>
      <c r="S18" s="12">
        <v>39</v>
      </c>
      <c r="T18" s="12">
        <v>8</v>
      </c>
      <c r="U18" s="12">
        <v>4</v>
      </c>
    </row>
    <row r="19" spans="1:21" ht="18" customHeight="1" x14ac:dyDescent="0.35">
      <c r="A19" s="20" t="s">
        <v>16</v>
      </c>
      <c r="B19" s="17">
        <v>78</v>
      </c>
      <c r="C19" s="12">
        <v>94</v>
      </c>
      <c r="D19" s="12">
        <v>8</v>
      </c>
      <c r="E19" s="12">
        <v>10</v>
      </c>
      <c r="F19" s="12">
        <v>4</v>
      </c>
      <c r="G19" s="12">
        <v>106</v>
      </c>
      <c r="H19" s="12">
        <v>10</v>
      </c>
      <c r="I19" s="12">
        <v>18</v>
      </c>
      <c r="J19" s="12">
        <v>14</v>
      </c>
      <c r="K19" s="12">
        <v>5</v>
      </c>
      <c r="L19" s="12">
        <v>14</v>
      </c>
      <c r="M19" s="12">
        <v>22</v>
      </c>
      <c r="N19" s="12">
        <v>17</v>
      </c>
      <c r="O19" s="12">
        <v>19</v>
      </c>
      <c r="P19" s="12">
        <v>8</v>
      </c>
      <c r="Q19" s="12">
        <v>23</v>
      </c>
      <c r="R19" s="12">
        <v>33</v>
      </c>
      <c r="S19" s="12">
        <v>63</v>
      </c>
      <c r="T19" s="12">
        <v>8</v>
      </c>
      <c r="U19" s="12">
        <v>0</v>
      </c>
    </row>
    <row r="20" spans="1:21" ht="18" customHeight="1" x14ac:dyDescent="0.35">
      <c r="A20" s="20" t="s">
        <v>17</v>
      </c>
      <c r="B20" s="17">
        <v>90</v>
      </c>
      <c r="C20" s="12">
        <v>112</v>
      </c>
      <c r="D20" s="12">
        <v>7</v>
      </c>
      <c r="E20" s="12">
        <v>12</v>
      </c>
      <c r="F20" s="12">
        <v>2</v>
      </c>
      <c r="G20" s="12">
        <v>133</v>
      </c>
      <c r="H20" s="12">
        <v>14</v>
      </c>
      <c r="I20" s="12">
        <v>18</v>
      </c>
      <c r="J20" s="12">
        <v>13</v>
      </c>
      <c r="K20" s="12">
        <v>1</v>
      </c>
      <c r="L20" s="12">
        <v>22</v>
      </c>
      <c r="M20" s="12">
        <v>30</v>
      </c>
      <c r="N20" s="12">
        <v>15</v>
      </c>
      <c r="O20" s="12">
        <v>16</v>
      </c>
      <c r="P20" s="12">
        <v>4</v>
      </c>
      <c r="Q20" s="12">
        <v>15</v>
      </c>
      <c r="R20" s="12">
        <v>38</v>
      </c>
      <c r="S20" s="12">
        <v>43</v>
      </c>
      <c r="T20" s="12">
        <v>7</v>
      </c>
      <c r="U20" s="12">
        <v>3</v>
      </c>
    </row>
    <row r="21" spans="1:21" ht="18" customHeight="1" x14ac:dyDescent="0.35">
      <c r="A21" s="20" t="s">
        <v>18</v>
      </c>
      <c r="B21" s="17">
        <v>87</v>
      </c>
      <c r="C21" s="12">
        <v>118</v>
      </c>
      <c r="D21" s="12">
        <v>7</v>
      </c>
      <c r="E21" s="12">
        <v>11</v>
      </c>
      <c r="F21" s="12">
        <v>2</v>
      </c>
      <c r="G21" s="12">
        <v>132</v>
      </c>
      <c r="H21" s="12">
        <v>10</v>
      </c>
      <c r="I21" s="12">
        <v>15</v>
      </c>
      <c r="J21" s="12">
        <v>11</v>
      </c>
      <c r="K21" s="12">
        <v>3</v>
      </c>
      <c r="L21" s="12">
        <v>25</v>
      </c>
      <c r="M21" s="12">
        <v>16</v>
      </c>
      <c r="N21" s="12">
        <v>11</v>
      </c>
      <c r="O21" s="12">
        <v>27</v>
      </c>
      <c r="P21" s="12">
        <v>3</v>
      </c>
      <c r="Q21" s="12">
        <v>11</v>
      </c>
      <c r="R21" s="12">
        <v>42</v>
      </c>
      <c r="S21" s="12">
        <v>70</v>
      </c>
      <c r="T21" s="12">
        <v>5</v>
      </c>
      <c r="U21" s="12">
        <v>4</v>
      </c>
    </row>
    <row r="22" spans="1:21" ht="18" customHeight="1" x14ac:dyDescent="0.35">
      <c r="A22" s="20" t="s">
        <v>19</v>
      </c>
      <c r="B22" s="17">
        <v>96</v>
      </c>
      <c r="C22" s="12">
        <v>129</v>
      </c>
      <c r="D22" s="12">
        <v>8</v>
      </c>
      <c r="E22" s="12">
        <v>11</v>
      </c>
      <c r="F22" s="12">
        <v>3</v>
      </c>
      <c r="G22" s="12">
        <v>110</v>
      </c>
      <c r="H22" s="12">
        <v>11</v>
      </c>
      <c r="I22" s="12">
        <v>16</v>
      </c>
      <c r="J22" s="12">
        <v>16</v>
      </c>
      <c r="K22" s="12">
        <v>5</v>
      </c>
      <c r="L22" s="12">
        <v>18</v>
      </c>
      <c r="M22" s="12">
        <v>18</v>
      </c>
      <c r="N22" s="12">
        <v>11</v>
      </c>
      <c r="O22" s="12">
        <v>21</v>
      </c>
      <c r="P22" s="12">
        <v>10</v>
      </c>
      <c r="Q22" s="12">
        <v>19</v>
      </c>
      <c r="R22" s="12">
        <v>53</v>
      </c>
      <c r="S22" s="12">
        <v>35</v>
      </c>
      <c r="T22" s="12">
        <v>0</v>
      </c>
      <c r="U22" s="12">
        <v>4</v>
      </c>
    </row>
    <row r="23" spans="1:21" ht="18" customHeight="1" x14ac:dyDescent="0.35">
      <c r="A23" s="20" t="s">
        <v>20</v>
      </c>
      <c r="B23" s="17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" customHeight="1" x14ac:dyDescent="0.35">
      <c r="A24" s="20" t="s">
        <v>21</v>
      </c>
      <c r="B24" s="17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" customHeight="1" x14ac:dyDescent="0.35">
      <c r="A25" s="20" t="s">
        <v>22</v>
      </c>
      <c r="B25" s="17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" customHeight="1" x14ac:dyDescent="0.35">
      <c r="A26" s="20" t="s">
        <v>23</v>
      </c>
      <c r="B26" s="17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" customHeight="1" x14ac:dyDescent="0.35">
      <c r="A27" s="20" t="s">
        <v>24</v>
      </c>
      <c r="B27" s="17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" customHeight="1" x14ac:dyDescent="0.35">
      <c r="A28" s="20" t="s">
        <v>25</v>
      </c>
      <c r="B28" s="17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" customHeight="1" x14ac:dyDescent="0.35">
      <c r="A29" s="20" t="s">
        <v>26</v>
      </c>
      <c r="B29" s="17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" customHeight="1" x14ac:dyDescent="0.35">
      <c r="A30" s="20" t="s">
        <v>27</v>
      </c>
      <c r="B30" s="17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" customHeight="1" x14ac:dyDescent="0.35">
      <c r="A31" s="20" t="s">
        <v>28</v>
      </c>
      <c r="B31" s="17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" customHeight="1" x14ac:dyDescent="0.35">
      <c r="A32" s="20" t="s">
        <v>29</v>
      </c>
      <c r="B32" s="17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" customHeight="1" x14ac:dyDescent="0.35">
      <c r="A33" s="20" t="s">
        <v>30</v>
      </c>
      <c r="B33" s="17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" customHeight="1" x14ac:dyDescent="0.35">
      <c r="A34" s="20" t="s">
        <v>31</v>
      </c>
      <c r="B34" s="17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" customHeight="1" x14ac:dyDescent="0.35">
      <c r="A35" s="20" t="s">
        <v>32</v>
      </c>
      <c r="B35" s="17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" customHeight="1" x14ac:dyDescent="0.35">
      <c r="A36" s="20" t="s">
        <v>33</v>
      </c>
      <c r="B36" s="17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" customHeight="1" x14ac:dyDescent="0.35">
      <c r="A37" s="20" t="s">
        <v>34</v>
      </c>
      <c r="B37" s="17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" customHeight="1" x14ac:dyDescent="0.35">
      <c r="A38" s="20" t="s">
        <v>35</v>
      </c>
      <c r="B38" s="17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" customHeight="1" x14ac:dyDescent="0.35">
      <c r="A39" s="20" t="s">
        <v>36</v>
      </c>
      <c r="B39" s="17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" customHeight="1" x14ac:dyDescent="0.35">
      <c r="A40" s="20" t="s">
        <v>37</v>
      </c>
      <c r="B40" s="17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" customHeight="1" x14ac:dyDescent="0.35">
      <c r="A41" s="20" t="s">
        <v>38</v>
      </c>
      <c r="B41" s="17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ht="18" customHeight="1" x14ac:dyDescent="0.35">
      <c r="A42" s="20" t="s">
        <v>39</v>
      </c>
      <c r="B42" s="17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ht="18" customHeight="1" x14ac:dyDescent="0.35">
      <c r="A43" s="20" t="s">
        <v>40</v>
      </c>
      <c r="B43" s="1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ht="18" customHeight="1" x14ac:dyDescent="0.35">
      <c r="A44" s="20" t="s">
        <v>41</v>
      </c>
      <c r="B44" s="17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ht="18" customHeight="1" x14ac:dyDescent="0.35">
      <c r="A45" s="20" t="s">
        <v>42</v>
      </c>
      <c r="B45" s="17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ht="18" customHeight="1" x14ac:dyDescent="0.35">
      <c r="A46" s="20" t="s">
        <v>43</v>
      </c>
      <c r="B46" s="17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ht="18" customHeight="1" x14ac:dyDescent="0.35">
      <c r="A47" s="20" t="s">
        <v>44</v>
      </c>
      <c r="B47" s="17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ht="18" customHeight="1" x14ac:dyDescent="0.35">
      <c r="A48" s="20" t="s">
        <v>45</v>
      </c>
      <c r="B48" s="17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ht="18" customHeight="1" x14ac:dyDescent="0.35">
      <c r="A49" s="20" t="s">
        <v>46</v>
      </c>
      <c r="B49" s="17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ht="18" customHeight="1" x14ac:dyDescent="0.35">
      <c r="A50" s="20" t="s">
        <v>47</v>
      </c>
      <c r="B50" s="17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ht="18" customHeight="1" x14ac:dyDescent="0.35">
      <c r="A51" s="20" t="s">
        <v>48</v>
      </c>
      <c r="B51" s="17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ht="18" customHeight="1" x14ac:dyDescent="0.35">
      <c r="A52" s="20" t="s">
        <v>49</v>
      </c>
      <c r="B52" s="17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ht="18" customHeight="1" x14ac:dyDescent="0.35">
      <c r="A53" s="20" t="s">
        <v>50</v>
      </c>
      <c r="B53" s="17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ht="18" customHeight="1" x14ac:dyDescent="0.35">
      <c r="A54" s="20" t="s">
        <v>51</v>
      </c>
      <c r="B54" s="17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</sheetData>
  <mergeCells count="1">
    <mergeCell ref="A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Gilles Kokouvi  AGBENONSI [ Vista Group Holding ]</dc:creator>
  <cp:lastModifiedBy>Gilles Kokouvi  AGBENONSI [ Vista Group Holding ]</cp:lastModifiedBy>
  <dcterms:created xsi:type="dcterms:W3CDTF">2026-04-12T21:43:05Z</dcterms:created>
  <dcterms:modified xsi:type="dcterms:W3CDTF">2026-04-15T10:53:10Z</dcterms:modified>
</cp:coreProperties>
</file>